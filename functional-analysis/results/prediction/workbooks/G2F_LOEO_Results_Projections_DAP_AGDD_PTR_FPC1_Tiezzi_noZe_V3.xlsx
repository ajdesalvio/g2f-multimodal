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aron.desalvio\My Drive\TAMU\Murray Lab\Writing\Manuscripts\2024_G2F_MultiModal\0.0_Data\"/>
    </mc:Choice>
  </mc:AlternateContent>
  <xr:revisionPtr revIDLastSave="0" documentId="13_ncr:9_{51674397-CE34-431E-AF06-7B44A9B1D81B}" xr6:coauthVersionLast="47" xr6:coauthVersionMax="47" xr10:uidLastSave="{00000000-0000-0000-0000-000000000000}"/>
  <bookViews>
    <workbookView xWindow="27420" yWindow="0" windowWidth="24255" windowHeight="20985" xr2:uid="{727ACB83-F5B6-4E31-BB7E-204E04D511A5}"/>
  </bookViews>
  <sheets>
    <sheet name="G2F_LOEO_Results_Projections_DA" sheetId="1" r:id="rId1"/>
  </sheets>
  <calcPr calcId="0"/>
</workbook>
</file>

<file path=xl/calcChain.xml><?xml version="1.0" encoding="utf-8"?>
<calcChain xmlns="http://schemas.openxmlformats.org/spreadsheetml/2006/main">
  <c r="K21" i="1" l="1"/>
  <c r="M21" i="1" s="1"/>
  <c r="L21" i="1"/>
  <c r="K40" i="1"/>
  <c r="L40" i="1"/>
  <c r="M40" i="1" s="1"/>
  <c r="K59" i="1"/>
  <c r="L59" i="1"/>
  <c r="M59" i="1"/>
  <c r="K78" i="1"/>
  <c r="M78" i="1" s="1"/>
  <c r="L78" i="1"/>
  <c r="K97" i="1"/>
  <c r="L97" i="1"/>
  <c r="M97" i="1"/>
  <c r="K116" i="1"/>
  <c r="M116" i="1" s="1"/>
  <c r="L116" i="1"/>
  <c r="K135" i="1"/>
  <c r="L135" i="1"/>
  <c r="M135" i="1"/>
  <c r="K154" i="1"/>
  <c r="L154" i="1"/>
  <c r="M154" i="1"/>
  <c r="K173" i="1"/>
  <c r="L173" i="1"/>
  <c r="M173" i="1"/>
  <c r="K192" i="1"/>
  <c r="L192" i="1"/>
  <c r="M192" i="1"/>
  <c r="K211" i="1"/>
  <c r="M211" i="1" s="1"/>
  <c r="L211" i="1"/>
  <c r="K230" i="1"/>
  <c r="M230" i="1" s="1"/>
  <c r="L230" i="1"/>
  <c r="K249" i="1"/>
  <c r="M249" i="1" s="1"/>
  <c r="L249" i="1"/>
  <c r="K268" i="1"/>
  <c r="L268" i="1"/>
  <c r="M268" i="1"/>
  <c r="K287" i="1"/>
  <c r="L287" i="1"/>
  <c r="M287" i="1"/>
  <c r="K306" i="1"/>
  <c r="M306" i="1" s="1"/>
  <c r="L306" i="1"/>
  <c r="K325" i="1"/>
  <c r="M325" i="1" s="1"/>
  <c r="L325" i="1"/>
  <c r="K344" i="1"/>
  <c r="L344" i="1"/>
  <c r="M344" i="1" s="1"/>
  <c r="K363" i="1"/>
  <c r="L363" i="1"/>
  <c r="M363" i="1"/>
  <c r="K382" i="1"/>
  <c r="L382" i="1"/>
  <c r="M382" i="1" s="1"/>
  <c r="K401" i="1"/>
  <c r="L401" i="1"/>
  <c r="M401" i="1"/>
  <c r="K420" i="1"/>
  <c r="M420" i="1" s="1"/>
  <c r="L420" i="1"/>
  <c r="K439" i="1"/>
  <c r="L439" i="1"/>
  <c r="M439" i="1"/>
  <c r="K458" i="1"/>
  <c r="L458" i="1"/>
  <c r="M458" i="1"/>
  <c r="K477" i="1"/>
  <c r="L477" i="1"/>
  <c r="M477" i="1"/>
  <c r="K496" i="1"/>
  <c r="L496" i="1"/>
  <c r="M496" i="1"/>
  <c r="K515" i="1"/>
  <c r="M515" i="1" s="1"/>
  <c r="L515" i="1"/>
  <c r="M2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2" i="1"/>
</calcChain>
</file>

<file path=xl/sharedStrings.xml><?xml version="1.0" encoding="utf-8"?>
<sst xmlns="http://schemas.openxmlformats.org/spreadsheetml/2006/main" count="2143" uniqueCount="61">
  <si>
    <t>Untested.Env</t>
  </si>
  <si>
    <t>Model</t>
  </si>
  <si>
    <t>ModelW</t>
  </si>
  <si>
    <t>n_hybrids</t>
  </si>
  <si>
    <t>FPCA_Type</t>
  </si>
  <si>
    <t>Cor</t>
  </si>
  <si>
    <t>DEH1.2020</t>
  </si>
  <si>
    <t>M1.G</t>
  </si>
  <si>
    <t>AGDD</t>
  </si>
  <si>
    <t>IAH4.2021</t>
  </si>
  <si>
    <t>MIH1.2020</t>
  </si>
  <si>
    <t>MNH1.2020</t>
  </si>
  <si>
    <t>MNH1.2021</t>
  </si>
  <si>
    <t>MOH1.2020</t>
  </si>
  <si>
    <t>NEH1.2021</t>
  </si>
  <si>
    <t>TXH1.2020</t>
  </si>
  <si>
    <t>TXH1.2021</t>
  </si>
  <si>
    <t>TXH2.2020</t>
  </si>
  <si>
    <t>TXH2.2021</t>
  </si>
  <si>
    <t>TXH3.2020</t>
  </si>
  <si>
    <t>TXH3.2021</t>
  </si>
  <si>
    <t>WIH1.2020</t>
  </si>
  <si>
    <t>WIH1.2021</t>
  </si>
  <si>
    <t>WIH2.2020</t>
  </si>
  <si>
    <t>WIH2.2021</t>
  </si>
  <si>
    <t>WIH3.2020</t>
  </si>
  <si>
    <t>WIH3.2021</t>
  </si>
  <si>
    <t>M1.P</t>
  </si>
  <si>
    <t>M10.G</t>
  </si>
  <si>
    <t>M10.G.P.W-Int</t>
  </si>
  <si>
    <t>M2.G</t>
  </si>
  <si>
    <t>M3.G</t>
  </si>
  <si>
    <t>M3.G-Int</t>
  </si>
  <si>
    <t>M3.P</t>
  </si>
  <si>
    <t>M3.P-Int</t>
  </si>
  <si>
    <t>M4.G</t>
  </si>
  <si>
    <t>M4.G.W</t>
  </si>
  <si>
    <t>M4.P</t>
  </si>
  <si>
    <t>M4.P.W</t>
  </si>
  <si>
    <t>M5.G</t>
  </si>
  <si>
    <t>M5.G.W-Int</t>
  </si>
  <si>
    <t>M5.P</t>
  </si>
  <si>
    <t>M5.P.W-Int</t>
  </si>
  <si>
    <t>M6.G</t>
  </si>
  <si>
    <t>M6.G.P</t>
  </si>
  <si>
    <t>M7.G</t>
  </si>
  <si>
    <t>M7.G.P</t>
  </si>
  <si>
    <t>M8.G</t>
  </si>
  <si>
    <t>M8.G.P-Int</t>
  </si>
  <si>
    <t>M9.G</t>
  </si>
  <si>
    <t>M9.G.P.W</t>
  </si>
  <si>
    <t>DAP</t>
  </si>
  <si>
    <t>ri</t>
  </si>
  <si>
    <t>V(ri)</t>
  </si>
  <si>
    <t>ri_div_V(ri)</t>
  </si>
  <si>
    <t>1_div_V(ri)</t>
  </si>
  <si>
    <t>Sum(ri_div_V(ri))</t>
  </si>
  <si>
    <t>Sum(1_div_V(ri))</t>
  </si>
  <si>
    <t>Pred_Mean</t>
  </si>
  <si>
    <t>SD</t>
  </si>
  <si>
    <t>SD_Mean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</si>
</sst>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65D7-417E-40D0-AD07-A74F48C1304C}">
  <dimension ref="A1:O533"/>
  <sheetViews>
    <sheetView tabSelected="1" workbookViewId="0"/>
  </sheetViews>
  <sheetFormatPr defaultRowHeight="15" x14ac:dyDescent="0.25"/>
  <cols>
    <col min="1" max="1" width="12.28515625" bestFit="1" customWidth="1"/>
    <col min="3" max="3" width="13.5703125" bestFit="1" customWidth="1"/>
    <col min="9" max="9" width="10.42578125" bestFit="1" customWidth="1"/>
    <col min="10" max="10" width="10.140625" bestFit="1" customWidth="1"/>
    <col min="11" max="11" width="15.85546875" bestFit="1" customWidth="1"/>
    <col min="12" max="12" width="15.5703125" bestFit="1" customWidth="1"/>
    <col min="13" max="13" width="10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</row>
    <row r="2" spans="1:15" x14ac:dyDescent="0.25">
      <c r="A2" t="s">
        <v>6</v>
      </c>
      <c r="B2" t="s">
        <v>7</v>
      </c>
      <c r="C2" t="s">
        <v>7</v>
      </c>
      <c r="D2">
        <v>1142</v>
      </c>
      <c r="E2" t="s">
        <v>8</v>
      </c>
      <c r="F2">
        <v>0.599749789644344</v>
      </c>
      <c r="G2">
        <f>AVERAGE(F2)</f>
        <v>0.599749789644344</v>
      </c>
      <c r="H2">
        <f>(1-G2^2)/(D2-2)</f>
        <v>5.6166683317681145E-4</v>
      </c>
      <c r="I2">
        <f>G2/H2</f>
        <v>1067.8034632241568</v>
      </c>
      <c r="J2">
        <f>1/H2</f>
        <v>1780.4149024501901</v>
      </c>
      <c r="K2">
        <f>SUM(I2:I20)</f>
        <v>3637.4752016131242</v>
      </c>
      <c r="L2">
        <f>SUM(J2:J20)</f>
        <v>11624.182033080575</v>
      </c>
      <c r="M2">
        <f>K2/L2</f>
        <v>0.31292311074116425</v>
      </c>
    </row>
    <row r="3" spans="1:15" x14ac:dyDescent="0.25">
      <c r="A3" t="s">
        <v>9</v>
      </c>
      <c r="B3" t="s">
        <v>7</v>
      </c>
      <c r="C3" t="s">
        <v>7</v>
      </c>
      <c r="D3">
        <v>1128</v>
      </c>
      <c r="E3" t="s">
        <v>8</v>
      </c>
      <c r="F3">
        <v>0.42878772864734999</v>
      </c>
      <c r="G3">
        <f t="shared" ref="G3:G66" si="0">AVERAGE(F3)</f>
        <v>0.42878772864734999</v>
      </c>
      <c r="H3">
        <f t="shared" ref="H3:H66" si="1">(1-G3^2)/(D3-2)</f>
        <v>7.2481446159986375E-4</v>
      </c>
      <c r="I3">
        <f t="shared" ref="I3:I66" si="2">G3/H3</f>
        <v>591.58274477705402</v>
      </c>
      <c r="J3">
        <f t="shared" ref="J3:J66" si="3">1/H3</f>
        <v>1379.6634214399178</v>
      </c>
    </row>
    <row r="4" spans="1:15" x14ac:dyDescent="0.25">
      <c r="A4" t="s">
        <v>10</v>
      </c>
      <c r="B4" t="s">
        <v>7</v>
      </c>
      <c r="C4" t="s">
        <v>7</v>
      </c>
      <c r="D4">
        <v>414</v>
      </c>
      <c r="E4" t="s">
        <v>8</v>
      </c>
      <c r="F4">
        <v>0.17182096983817899</v>
      </c>
      <c r="G4">
        <f t="shared" si="0"/>
        <v>0.17182096983817899</v>
      </c>
      <c r="H4">
        <f t="shared" si="1"/>
        <v>2.3555280444754068E-3</v>
      </c>
      <c r="I4">
        <f t="shared" si="2"/>
        <v>72.943716480541738</v>
      </c>
      <c r="J4">
        <f t="shared" si="3"/>
        <v>424.53326010928782</v>
      </c>
    </row>
    <row r="5" spans="1:15" x14ac:dyDescent="0.25">
      <c r="A5" t="s">
        <v>11</v>
      </c>
      <c r="B5" t="s">
        <v>7</v>
      </c>
      <c r="C5" t="s">
        <v>7</v>
      </c>
      <c r="D5">
        <v>395</v>
      </c>
      <c r="E5" t="s">
        <v>8</v>
      </c>
      <c r="F5">
        <v>0.42308668190096899</v>
      </c>
      <c r="G5">
        <f t="shared" si="0"/>
        <v>0.42308668190096899</v>
      </c>
      <c r="H5">
        <f t="shared" si="1"/>
        <v>2.0890525689517261E-3</v>
      </c>
      <c r="I5">
        <f t="shared" si="2"/>
        <v>202.52562725756169</v>
      </c>
      <c r="J5">
        <f t="shared" si="3"/>
        <v>478.68589563631417</v>
      </c>
    </row>
    <row r="6" spans="1:15" x14ac:dyDescent="0.25">
      <c r="A6" t="s">
        <v>12</v>
      </c>
      <c r="B6" t="s">
        <v>7</v>
      </c>
      <c r="C6" t="s">
        <v>7</v>
      </c>
      <c r="D6">
        <v>415</v>
      </c>
      <c r="E6" t="s">
        <v>8</v>
      </c>
      <c r="F6">
        <v>0.32708095930895698</v>
      </c>
      <c r="G6">
        <f t="shared" si="0"/>
        <v>0.32708095930895698</v>
      </c>
      <c r="H6">
        <f t="shared" si="1"/>
        <v>2.162271297960127E-3</v>
      </c>
      <c r="I6">
        <f t="shared" si="2"/>
        <v>151.26730841662797</v>
      </c>
      <c r="J6">
        <f t="shared" si="3"/>
        <v>462.47665634899454</v>
      </c>
    </row>
    <row r="7" spans="1:15" x14ac:dyDescent="0.25">
      <c r="A7" t="s">
        <v>13</v>
      </c>
      <c r="B7" t="s">
        <v>7</v>
      </c>
      <c r="C7" t="s">
        <v>7</v>
      </c>
      <c r="D7">
        <v>1006</v>
      </c>
      <c r="E7" t="s">
        <v>8</v>
      </c>
      <c r="F7">
        <v>3.7589120700724003E-2</v>
      </c>
      <c r="G7">
        <f t="shared" si="0"/>
        <v>3.7589120700724003E-2</v>
      </c>
      <c r="H7">
        <f t="shared" si="1"/>
        <v>9.9460862351090275E-4</v>
      </c>
      <c r="I7">
        <f t="shared" si="2"/>
        <v>37.792876325601206</v>
      </c>
      <c r="J7">
        <f t="shared" si="3"/>
        <v>1005.4206009898306</v>
      </c>
    </row>
    <row r="8" spans="1:15" x14ac:dyDescent="0.25">
      <c r="A8" t="s">
        <v>14</v>
      </c>
      <c r="B8" t="s">
        <v>7</v>
      </c>
      <c r="C8" t="s">
        <v>7</v>
      </c>
      <c r="D8">
        <v>246</v>
      </c>
      <c r="E8" t="s">
        <v>8</v>
      </c>
      <c r="F8">
        <v>0.154870238997034</v>
      </c>
      <c r="G8">
        <f t="shared" si="0"/>
        <v>0.154870238997034</v>
      </c>
      <c r="H8">
        <f t="shared" si="1"/>
        <v>4.0000623322663997E-3</v>
      </c>
      <c r="I8">
        <f t="shared" si="2"/>
        <v>38.716956420348055</v>
      </c>
      <c r="J8">
        <f t="shared" si="3"/>
        <v>249.99610429405706</v>
      </c>
    </row>
    <row r="9" spans="1:15" x14ac:dyDescent="0.25">
      <c r="A9" t="s">
        <v>15</v>
      </c>
      <c r="B9" t="s">
        <v>7</v>
      </c>
      <c r="C9" t="s">
        <v>7</v>
      </c>
      <c r="D9">
        <v>246</v>
      </c>
      <c r="E9" t="s">
        <v>8</v>
      </c>
      <c r="F9">
        <v>0.22401995755492701</v>
      </c>
      <c r="G9">
        <f t="shared" si="0"/>
        <v>0.22401995755492701</v>
      </c>
      <c r="H9">
        <f t="shared" si="1"/>
        <v>3.8926846664634781E-3</v>
      </c>
      <c r="I9">
        <f t="shared" si="2"/>
        <v>57.548960871379848</v>
      </c>
      <c r="J9">
        <f t="shared" si="3"/>
        <v>256.89211577173666</v>
      </c>
    </row>
    <row r="10" spans="1:15" x14ac:dyDescent="0.25">
      <c r="A10" t="s">
        <v>16</v>
      </c>
      <c r="B10" t="s">
        <v>7</v>
      </c>
      <c r="C10" t="s">
        <v>7</v>
      </c>
      <c r="D10">
        <v>246</v>
      </c>
      <c r="E10" t="s">
        <v>8</v>
      </c>
      <c r="F10">
        <v>5.2874588531640503E-2</v>
      </c>
      <c r="G10">
        <f t="shared" si="0"/>
        <v>5.2874588531640503E-2</v>
      </c>
      <c r="H10">
        <f t="shared" si="1"/>
        <v>4.0869027782279082E-3</v>
      </c>
      <c r="I10">
        <f t="shared" si="2"/>
        <v>12.93756945071423</v>
      </c>
      <c r="J10">
        <f t="shared" si="3"/>
        <v>244.68406866130607</v>
      </c>
    </row>
    <row r="11" spans="1:15" x14ac:dyDescent="0.25">
      <c r="A11" t="s">
        <v>17</v>
      </c>
      <c r="B11" t="s">
        <v>7</v>
      </c>
      <c r="C11" t="s">
        <v>7</v>
      </c>
      <c r="D11">
        <v>246</v>
      </c>
      <c r="E11" t="s">
        <v>8</v>
      </c>
      <c r="F11">
        <v>0.182923230546542</v>
      </c>
      <c r="G11">
        <f t="shared" si="0"/>
        <v>0.182923230546542</v>
      </c>
      <c r="H11">
        <f t="shared" si="1"/>
        <v>3.9612257857640021E-3</v>
      </c>
      <c r="I11">
        <f t="shared" si="2"/>
        <v>46.178440826053944</v>
      </c>
      <c r="J11">
        <f t="shared" si="3"/>
        <v>252.44710957750414</v>
      </c>
    </row>
    <row r="12" spans="1:15" x14ac:dyDescent="0.25">
      <c r="A12" t="s">
        <v>18</v>
      </c>
      <c r="B12" t="s">
        <v>7</v>
      </c>
      <c r="C12" t="s">
        <v>7</v>
      </c>
      <c r="D12">
        <v>246</v>
      </c>
      <c r="E12" t="s">
        <v>8</v>
      </c>
      <c r="F12">
        <v>0.185888845706352</v>
      </c>
      <c r="G12">
        <f t="shared" si="0"/>
        <v>0.185888845706352</v>
      </c>
      <c r="H12">
        <f t="shared" si="1"/>
        <v>3.9567431845981965E-3</v>
      </c>
      <c r="I12">
        <f t="shared" si="2"/>
        <v>46.980265595688095</v>
      </c>
      <c r="J12">
        <f t="shared" si="3"/>
        <v>252.73310734256032</v>
      </c>
    </row>
    <row r="13" spans="1:15" x14ac:dyDescent="0.25">
      <c r="A13" t="s">
        <v>19</v>
      </c>
      <c r="B13" t="s">
        <v>7</v>
      </c>
      <c r="C13" t="s">
        <v>7</v>
      </c>
      <c r="D13">
        <v>266</v>
      </c>
      <c r="E13" t="s">
        <v>8</v>
      </c>
      <c r="F13">
        <v>-0.17461842089549301</v>
      </c>
      <c r="G13">
        <f t="shared" si="0"/>
        <v>-0.17461842089549301</v>
      </c>
      <c r="H13">
        <f t="shared" si="1"/>
        <v>3.6723803298635018E-3</v>
      </c>
      <c r="I13">
        <f t="shared" si="2"/>
        <v>-47.549111260484118</v>
      </c>
      <c r="J13">
        <f t="shared" si="3"/>
        <v>272.30295072328983</v>
      </c>
    </row>
    <row r="14" spans="1:15" x14ac:dyDescent="0.25">
      <c r="A14" t="s">
        <v>20</v>
      </c>
      <c r="B14" t="s">
        <v>7</v>
      </c>
      <c r="C14" t="s">
        <v>7</v>
      </c>
      <c r="D14">
        <v>245</v>
      </c>
      <c r="E14" t="s">
        <v>8</v>
      </c>
      <c r="F14">
        <v>0.15441012529105599</v>
      </c>
      <c r="G14">
        <f t="shared" si="0"/>
        <v>0.15441012529105599</v>
      </c>
      <c r="H14">
        <f t="shared" si="1"/>
        <v>4.0171091078502075E-3</v>
      </c>
      <c r="I14">
        <f t="shared" si="2"/>
        <v>38.438120834036788</v>
      </c>
      <c r="J14">
        <f t="shared" si="3"/>
        <v>248.93523505393637</v>
      </c>
    </row>
    <row r="15" spans="1:15" x14ac:dyDescent="0.25">
      <c r="A15" t="s">
        <v>21</v>
      </c>
      <c r="B15" t="s">
        <v>7</v>
      </c>
      <c r="C15" t="s">
        <v>7</v>
      </c>
      <c r="D15">
        <v>394</v>
      </c>
      <c r="E15" t="s">
        <v>8</v>
      </c>
      <c r="F15">
        <v>0.35711392161039301</v>
      </c>
      <c r="G15">
        <f t="shared" si="0"/>
        <v>0.35711392161039301</v>
      </c>
      <c r="H15">
        <f t="shared" si="1"/>
        <v>2.2256878749797094E-3</v>
      </c>
      <c r="I15">
        <f t="shared" si="2"/>
        <v>160.45103431838962</v>
      </c>
      <c r="J15">
        <f t="shared" si="3"/>
        <v>449.29929809188388</v>
      </c>
    </row>
    <row r="16" spans="1:15" x14ac:dyDescent="0.25">
      <c r="A16" t="s">
        <v>22</v>
      </c>
      <c r="B16" t="s">
        <v>7</v>
      </c>
      <c r="C16" t="s">
        <v>7</v>
      </c>
      <c r="D16">
        <v>398</v>
      </c>
      <c r="E16" t="s">
        <v>8</v>
      </c>
      <c r="F16">
        <v>0.35174416164949701</v>
      </c>
      <c r="G16">
        <f t="shared" si="0"/>
        <v>0.35174416164949701</v>
      </c>
      <c r="H16">
        <f t="shared" si="1"/>
        <v>2.2128182948118495E-3</v>
      </c>
      <c r="I16">
        <f t="shared" si="2"/>
        <v>158.95754408493127</v>
      </c>
      <c r="J16">
        <f t="shared" si="3"/>
        <v>451.91238808201717</v>
      </c>
    </row>
    <row r="17" spans="1:13" x14ac:dyDescent="0.25">
      <c r="A17" t="s">
        <v>23</v>
      </c>
      <c r="B17" t="s">
        <v>7</v>
      </c>
      <c r="C17" t="s">
        <v>7</v>
      </c>
      <c r="D17">
        <v>1127</v>
      </c>
      <c r="E17" t="s">
        <v>8</v>
      </c>
      <c r="F17">
        <v>0.12881231277202601</v>
      </c>
      <c r="G17">
        <f t="shared" si="0"/>
        <v>0.12881231277202601</v>
      </c>
      <c r="H17">
        <f t="shared" si="1"/>
        <v>8.7413990051406372E-4</v>
      </c>
      <c r="I17">
        <f t="shared" si="2"/>
        <v>147.35892126223061</v>
      </c>
      <c r="J17">
        <f t="shared" si="3"/>
        <v>1143.9816434553788</v>
      </c>
    </row>
    <row r="18" spans="1:13" x14ac:dyDescent="0.25">
      <c r="A18" t="s">
        <v>24</v>
      </c>
      <c r="B18" t="s">
        <v>7</v>
      </c>
      <c r="C18" t="s">
        <v>7</v>
      </c>
      <c r="D18">
        <v>1137</v>
      </c>
      <c r="E18" t="s">
        <v>8</v>
      </c>
      <c r="F18">
        <v>0.354211844958705</v>
      </c>
      <c r="G18">
        <f t="shared" si="0"/>
        <v>0.354211844958705</v>
      </c>
      <c r="H18">
        <f t="shared" si="1"/>
        <v>7.7051451003607959E-4</v>
      </c>
      <c r="I18">
        <f t="shared" si="2"/>
        <v>459.70820840495128</v>
      </c>
      <c r="J18">
        <f t="shared" si="3"/>
        <v>1297.8340926417786</v>
      </c>
    </row>
    <row r="19" spans="1:13" x14ac:dyDescent="0.25">
      <c r="A19" t="s">
        <v>25</v>
      </c>
      <c r="B19" t="s">
        <v>7</v>
      </c>
      <c r="C19" t="s">
        <v>7</v>
      </c>
      <c r="D19">
        <v>415</v>
      </c>
      <c r="E19" t="s">
        <v>8</v>
      </c>
      <c r="F19">
        <v>0.335032914426316</v>
      </c>
      <c r="G19">
        <f t="shared" si="0"/>
        <v>0.335032914426316</v>
      </c>
      <c r="H19">
        <f t="shared" si="1"/>
        <v>2.1495228722784717E-3</v>
      </c>
      <c r="I19">
        <f t="shared" si="2"/>
        <v>155.86385180967375</v>
      </c>
      <c r="J19">
        <f t="shared" si="3"/>
        <v>465.21952052550643</v>
      </c>
    </row>
    <row r="20" spans="1:13" x14ac:dyDescent="0.25">
      <c r="A20" t="s">
        <v>26</v>
      </c>
      <c r="B20" t="s">
        <v>7</v>
      </c>
      <c r="C20" t="s">
        <v>7</v>
      </c>
      <c r="D20">
        <v>397</v>
      </c>
      <c r="E20" t="s">
        <v>8</v>
      </c>
      <c r="F20">
        <v>0.469598147591131</v>
      </c>
      <c r="G20">
        <f t="shared" si="0"/>
        <v>0.469598147591131</v>
      </c>
      <c r="H20">
        <f t="shared" si="1"/>
        <v>1.9733609614657681E-3</v>
      </c>
      <c r="I20">
        <f t="shared" si="2"/>
        <v>237.96870251366687</v>
      </c>
      <c r="J20">
        <f t="shared" si="3"/>
        <v>506.74966188508284</v>
      </c>
    </row>
    <row r="21" spans="1:13" x14ac:dyDescent="0.25">
      <c r="A21" t="s">
        <v>6</v>
      </c>
      <c r="B21" t="s">
        <v>27</v>
      </c>
      <c r="C21" t="s">
        <v>27</v>
      </c>
      <c r="D21">
        <v>1142</v>
      </c>
      <c r="E21" t="s">
        <v>8</v>
      </c>
      <c r="F21">
        <v>0.33102944839443299</v>
      </c>
      <c r="G21">
        <f t="shared" si="0"/>
        <v>0.33102944839443299</v>
      </c>
      <c r="H21">
        <f t="shared" si="1"/>
        <v>7.8106974061024328E-4</v>
      </c>
      <c r="I21">
        <f t="shared" si="2"/>
        <v>423.81548174661384</v>
      </c>
      <c r="J21">
        <f t="shared" si="3"/>
        <v>1280.2954051436025</v>
      </c>
      <c r="K21">
        <f t="shared" ref="K21:L21" si="4">SUM(I21:I39)</f>
        <v>3452.875056064247</v>
      </c>
      <c r="L21">
        <f t="shared" si="4"/>
        <v>11305.636001714984</v>
      </c>
      <c r="M21">
        <f t="shared" ref="M21" si="5">K21/L21</f>
        <v>0.30541183667513006</v>
      </c>
    </row>
    <row r="22" spans="1:13" x14ac:dyDescent="0.25">
      <c r="A22" t="s">
        <v>9</v>
      </c>
      <c r="B22" t="s">
        <v>27</v>
      </c>
      <c r="C22" t="s">
        <v>27</v>
      </c>
      <c r="D22">
        <v>1128</v>
      </c>
      <c r="E22" t="s">
        <v>8</v>
      </c>
      <c r="F22">
        <v>0.213384028870482</v>
      </c>
      <c r="G22">
        <f t="shared" si="0"/>
        <v>0.213384028870482</v>
      </c>
      <c r="H22">
        <f t="shared" si="1"/>
        <v>8.4766186165453048E-4</v>
      </c>
      <c r="I22">
        <f t="shared" si="2"/>
        <v>251.73248735525615</v>
      </c>
      <c r="J22">
        <f t="shared" si="3"/>
        <v>1179.7156923494522</v>
      </c>
    </row>
    <row r="23" spans="1:13" x14ac:dyDescent="0.25">
      <c r="A23" t="s">
        <v>10</v>
      </c>
      <c r="B23" t="s">
        <v>27</v>
      </c>
      <c r="C23" t="s">
        <v>27</v>
      </c>
      <c r="D23">
        <v>414</v>
      </c>
      <c r="E23" t="s">
        <v>8</v>
      </c>
      <c r="F23">
        <v>0.300555243727604</v>
      </c>
      <c r="G23">
        <f t="shared" si="0"/>
        <v>0.300555243727604</v>
      </c>
      <c r="H23">
        <f t="shared" si="1"/>
        <v>2.2079285084170889E-3</v>
      </c>
      <c r="I23">
        <f t="shared" si="2"/>
        <v>136.12544182559537</v>
      </c>
      <c r="J23">
        <f t="shared" si="3"/>
        <v>452.91321534541959</v>
      </c>
    </row>
    <row r="24" spans="1:13" x14ac:dyDescent="0.25">
      <c r="A24" t="s">
        <v>11</v>
      </c>
      <c r="B24" t="s">
        <v>27</v>
      </c>
      <c r="C24" t="s">
        <v>27</v>
      </c>
      <c r="D24">
        <v>395</v>
      </c>
      <c r="E24" t="s">
        <v>8</v>
      </c>
      <c r="F24">
        <v>0.39760699621756002</v>
      </c>
      <c r="G24">
        <f t="shared" si="0"/>
        <v>0.39760699621756002</v>
      </c>
      <c r="H24">
        <f t="shared" si="1"/>
        <v>2.1422612635085222E-3</v>
      </c>
      <c r="I24">
        <f t="shared" si="2"/>
        <v>185.60154309394218</v>
      </c>
      <c r="J24">
        <f t="shared" si="3"/>
        <v>466.79647204292638</v>
      </c>
    </row>
    <row r="25" spans="1:13" x14ac:dyDescent="0.25">
      <c r="A25" t="s">
        <v>12</v>
      </c>
      <c r="B25" t="s">
        <v>27</v>
      </c>
      <c r="C25" t="s">
        <v>27</v>
      </c>
      <c r="D25">
        <v>415</v>
      </c>
      <c r="E25" t="s">
        <v>8</v>
      </c>
      <c r="F25">
        <v>0.29946832767035902</v>
      </c>
      <c r="G25">
        <f t="shared" si="0"/>
        <v>0.29946832767035902</v>
      </c>
      <c r="H25">
        <f t="shared" si="1"/>
        <v>2.2041615513857592E-3</v>
      </c>
      <c r="I25">
        <f t="shared" si="2"/>
        <v>135.8649630205567</v>
      </c>
      <c r="J25">
        <f t="shared" si="3"/>
        <v>453.68725326476124</v>
      </c>
    </row>
    <row r="26" spans="1:13" x14ac:dyDescent="0.25">
      <c r="A26" t="s">
        <v>13</v>
      </c>
      <c r="B26" t="s">
        <v>27</v>
      </c>
      <c r="C26" t="s">
        <v>27</v>
      </c>
      <c r="D26">
        <v>1006</v>
      </c>
      <c r="E26" t="s">
        <v>8</v>
      </c>
      <c r="F26">
        <v>0.46821550039946402</v>
      </c>
      <c r="G26">
        <f t="shared" si="0"/>
        <v>0.46821550039946402</v>
      </c>
      <c r="H26">
        <f t="shared" si="1"/>
        <v>7.7766359082238998E-4</v>
      </c>
      <c r="I26">
        <f t="shared" si="2"/>
        <v>602.07975006817492</v>
      </c>
      <c r="J26">
        <f t="shared" si="3"/>
        <v>1285.9030714585547</v>
      </c>
    </row>
    <row r="27" spans="1:13" x14ac:dyDescent="0.25">
      <c r="A27" t="s">
        <v>14</v>
      </c>
      <c r="B27" t="s">
        <v>27</v>
      </c>
      <c r="C27" t="s">
        <v>27</v>
      </c>
      <c r="D27">
        <v>246</v>
      </c>
      <c r="E27" t="s">
        <v>8</v>
      </c>
      <c r="F27">
        <v>0.34203244451339399</v>
      </c>
      <c r="G27">
        <f t="shared" si="0"/>
        <v>0.34203244451339399</v>
      </c>
      <c r="H27">
        <f t="shared" si="1"/>
        <v>3.6189090446729182E-3</v>
      </c>
      <c r="I27">
        <f t="shared" si="2"/>
        <v>94.512583845363636</v>
      </c>
      <c r="J27">
        <f t="shared" si="3"/>
        <v>276.32637008990685</v>
      </c>
    </row>
    <row r="28" spans="1:13" x14ac:dyDescent="0.25">
      <c r="A28" t="s">
        <v>15</v>
      </c>
      <c r="B28" t="s">
        <v>27</v>
      </c>
      <c r="C28" t="s">
        <v>27</v>
      </c>
      <c r="D28">
        <v>246</v>
      </c>
      <c r="E28" t="s">
        <v>8</v>
      </c>
      <c r="F28">
        <v>0.56984422658432798</v>
      </c>
      <c r="G28">
        <f t="shared" si="0"/>
        <v>0.56984422658432798</v>
      </c>
      <c r="H28">
        <f t="shared" si="1"/>
        <v>2.7675309730676601E-3</v>
      </c>
      <c r="I28">
        <f t="shared" si="2"/>
        <v>205.90346851753068</v>
      </c>
      <c r="J28">
        <f t="shared" si="3"/>
        <v>361.33290276840279</v>
      </c>
    </row>
    <row r="29" spans="1:13" x14ac:dyDescent="0.25">
      <c r="A29" t="s">
        <v>16</v>
      </c>
      <c r="B29" t="s">
        <v>27</v>
      </c>
      <c r="C29" t="s">
        <v>27</v>
      </c>
      <c r="D29">
        <v>246</v>
      </c>
      <c r="E29" t="s">
        <v>8</v>
      </c>
      <c r="F29">
        <v>0.105095059324762</v>
      </c>
      <c r="G29">
        <f t="shared" si="0"/>
        <v>0.105095059324762</v>
      </c>
      <c r="H29">
        <f t="shared" si="1"/>
        <v>4.053094379121003E-3</v>
      </c>
      <c r="I29">
        <f t="shared" si="2"/>
        <v>25.929586013625972</v>
      </c>
      <c r="J29">
        <f t="shared" si="3"/>
        <v>246.72507138036855</v>
      </c>
    </row>
    <row r="30" spans="1:13" x14ac:dyDescent="0.25">
      <c r="A30" t="s">
        <v>17</v>
      </c>
      <c r="B30" t="s">
        <v>27</v>
      </c>
      <c r="C30" t="s">
        <v>27</v>
      </c>
      <c r="D30">
        <v>246</v>
      </c>
      <c r="E30" t="s">
        <v>8</v>
      </c>
      <c r="F30">
        <v>0.43184854478564499</v>
      </c>
      <c r="G30">
        <f t="shared" si="0"/>
        <v>0.43184854478564499</v>
      </c>
      <c r="H30">
        <f t="shared" si="1"/>
        <v>3.334044403141479E-3</v>
      </c>
      <c r="I30">
        <f t="shared" si="2"/>
        <v>129.52693262835336</v>
      </c>
      <c r="J30">
        <f t="shared" si="3"/>
        <v>299.93601736610265</v>
      </c>
    </row>
    <row r="31" spans="1:13" x14ac:dyDescent="0.25">
      <c r="A31" t="s">
        <v>18</v>
      </c>
      <c r="B31" t="s">
        <v>27</v>
      </c>
      <c r="C31" t="s">
        <v>27</v>
      </c>
      <c r="D31">
        <v>246</v>
      </c>
      <c r="E31" t="s">
        <v>8</v>
      </c>
      <c r="F31">
        <v>0.25715061894399799</v>
      </c>
      <c r="G31">
        <f t="shared" si="0"/>
        <v>0.25715061894399799</v>
      </c>
      <c r="H31">
        <f t="shared" si="1"/>
        <v>3.8273506523636017E-3</v>
      </c>
      <c r="I31">
        <f t="shared" si="2"/>
        <v>67.18762985178617</v>
      </c>
      <c r="J31">
        <f t="shared" si="3"/>
        <v>261.27734060176704</v>
      </c>
    </row>
    <row r="32" spans="1:13" x14ac:dyDescent="0.25">
      <c r="A32" t="s">
        <v>19</v>
      </c>
      <c r="B32" t="s">
        <v>27</v>
      </c>
      <c r="C32" t="s">
        <v>27</v>
      </c>
      <c r="D32">
        <v>266</v>
      </c>
      <c r="E32" t="s">
        <v>8</v>
      </c>
      <c r="F32">
        <v>3.4631767664065699E-2</v>
      </c>
      <c r="G32">
        <f t="shared" si="0"/>
        <v>3.4631767664065699E-2</v>
      </c>
      <c r="H32">
        <f t="shared" si="1"/>
        <v>3.7833357601078114E-3</v>
      </c>
      <c r="I32">
        <f t="shared" si="2"/>
        <v>9.1537653171651936</v>
      </c>
      <c r="J32">
        <f t="shared" si="3"/>
        <v>264.31701107371543</v>
      </c>
    </row>
    <row r="33" spans="1:13" x14ac:dyDescent="0.25">
      <c r="A33" t="s">
        <v>20</v>
      </c>
      <c r="B33" t="s">
        <v>27</v>
      </c>
      <c r="C33" t="s">
        <v>27</v>
      </c>
      <c r="D33">
        <v>245</v>
      </c>
      <c r="E33" t="s">
        <v>8</v>
      </c>
      <c r="F33">
        <v>0.489010308277539</v>
      </c>
      <c r="G33">
        <f t="shared" si="0"/>
        <v>0.489010308277539</v>
      </c>
      <c r="H33">
        <f t="shared" si="1"/>
        <v>3.1311478123387088E-3</v>
      </c>
      <c r="I33">
        <f t="shared" si="2"/>
        <v>156.17605350680927</v>
      </c>
      <c r="J33">
        <f t="shared" si="3"/>
        <v>319.37170007093425</v>
      </c>
    </row>
    <row r="34" spans="1:13" x14ac:dyDescent="0.25">
      <c r="A34" t="s">
        <v>21</v>
      </c>
      <c r="B34" t="s">
        <v>27</v>
      </c>
      <c r="C34" t="s">
        <v>27</v>
      </c>
      <c r="D34">
        <v>394</v>
      </c>
      <c r="E34" t="s">
        <v>8</v>
      </c>
      <c r="F34">
        <v>0.462526252157822</v>
      </c>
      <c r="G34">
        <f t="shared" si="0"/>
        <v>0.462526252157822</v>
      </c>
      <c r="H34">
        <f t="shared" si="1"/>
        <v>2.0052792501654053E-3</v>
      </c>
      <c r="I34">
        <f t="shared" si="2"/>
        <v>230.65428524215295</v>
      </c>
      <c r="J34">
        <f t="shared" si="3"/>
        <v>498.6836620971942</v>
      </c>
    </row>
    <row r="35" spans="1:13" x14ac:dyDescent="0.25">
      <c r="A35" t="s">
        <v>22</v>
      </c>
      <c r="B35" t="s">
        <v>27</v>
      </c>
      <c r="C35" t="s">
        <v>27</v>
      </c>
      <c r="D35">
        <v>398</v>
      </c>
      <c r="E35" t="s">
        <v>8</v>
      </c>
      <c r="F35">
        <v>0.31824815253239702</v>
      </c>
      <c r="G35">
        <f t="shared" si="0"/>
        <v>0.31824815253239702</v>
      </c>
      <c r="H35">
        <f t="shared" si="1"/>
        <v>2.2694901853780713E-3</v>
      </c>
      <c r="I35">
        <f t="shared" si="2"/>
        <v>140.22891774673195</v>
      </c>
      <c r="J35">
        <f t="shared" si="3"/>
        <v>440.62759400451489</v>
      </c>
    </row>
    <row r="36" spans="1:13" x14ac:dyDescent="0.25">
      <c r="A36" t="s">
        <v>23</v>
      </c>
      <c r="B36" t="s">
        <v>27</v>
      </c>
      <c r="C36" t="s">
        <v>27</v>
      </c>
      <c r="D36">
        <v>1127</v>
      </c>
      <c r="E36" t="s">
        <v>8</v>
      </c>
      <c r="F36">
        <v>0.15296233955406599</v>
      </c>
      <c r="G36">
        <f t="shared" si="0"/>
        <v>0.15296233955406599</v>
      </c>
      <c r="H36">
        <f t="shared" si="1"/>
        <v>8.680911312694637E-4</v>
      </c>
      <c r="I36">
        <f t="shared" si="2"/>
        <v>176.20539370144198</v>
      </c>
      <c r="J36">
        <f t="shared" si="3"/>
        <v>1151.9527892626179</v>
      </c>
    </row>
    <row r="37" spans="1:13" x14ac:dyDescent="0.25">
      <c r="A37" t="s">
        <v>24</v>
      </c>
      <c r="B37" t="s">
        <v>27</v>
      </c>
      <c r="C37" t="s">
        <v>27</v>
      </c>
      <c r="D37">
        <v>1137</v>
      </c>
      <c r="E37" t="s">
        <v>8</v>
      </c>
      <c r="F37">
        <v>0.21974338417491299</v>
      </c>
      <c r="G37">
        <f t="shared" si="0"/>
        <v>0.21974338417491299</v>
      </c>
      <c r="H37">
        <f t="shared" si="1"/>
        <v>8.3851351992190006E-4</v>
      </c>
      <c r="I37">
        <f t="shared" si="2"/>
        <v>262.06301860866847</v>
      </c>
      <c r="J37">
        <f t="shared" si="3"/>
        <v>1192.586614576162</v>
      </c>
    </row>
    <row r="38" spans="1:13" x14ac:dyDescent="0.25">
      <c r="A38" t="s">
        <v>25</v>
      </c>
      <c r="B38" t="s">
        <v>27</v>
      </c>
      <c r="C38" t="s">
        <v>27</v>
      </c>
      <c r="D38">
        <v>415</v>
      </c>
      <c r="E38" t="s">
        <v>8</v>
      </c>
      <c r="F38">
        <v>0.14299616136410001</v>
      </c>
      <c r="G38">
        <f t="shared" si="0"/>
        <v>0.14299616136410001</v>
      </c>
      <c r="H38">
        <f t="shared" si="1"/>
        <v>2.3717968470584319E-3</v>
      </c>
      <c r="I38">
        <f t="shared" si="2"/>
        <v>60.290223229467486</v>
      </c>
      <c r="J38">
        <f t="shared" si="3"/>
        <v>421.62127048959849</v>
      </c>
    </row>
    <row r="39" spans="1:13" x14ac:dyDescent="0.25">
      <c r="A39" t="s">
        <v>26</v>
      </c>
      <c r="B39" t="s">
        <v>27</v>
      </c>
      <c r="C39" t="s">
        <v>27</v>
      </c>
      <c r="D39">
        <v>397</v>
      </c>
      <c r="E39" t="s">
        <v>8</v>
      </c>
      <c r="F39">
        <v>0.35393128949971497</v>
      </c>
      <c r="G39">
        <f t="shared" si="0"/>
        <v>0.35393128949971497</v>
      </c>
      <c r="H39">
        <f t="shared" si="1"/>
        <v>2.2145130185140987E-3</v>
      </c>
      <c r="I39">
        <f t="shared" si="2"/>
        <v>159.82353074501091</v>
      </c>
      <c r="J39">
        <f t="shared" si="3"/>
        <v>451.56654832897902</v>
      </c>
    </row>
    <row r="40" spans="1:13" x14ac:dyDescent="0.25">
      <c r="A40" t="s">
        <v>6</v>
      </c>
      <c r="B40" t="s">
        <v>28</v>
      </c>
      <c r="C40" t="s">
        <v>29</v>
      </c>
      <c r="D40">
        <v>1142</v>
      </c>
      <c r="E40" t="s">
        <v>8</v>
      </c>
      <c r="F40">
        <v>0.65943782687460495</v>
      </c>
      <c r="G40">
        <f t="shared" si="0"/>
        <v>0.65943782687460495</v>
      </c>
      <c r="H40">
        <f t="shared" si="1"/>
        <v>4.9573837937447239E-4</v>
      </c>
      <c r="I40">
        <f t="shared" si="2"/>
        <v>1330.21338333072</v>
      </c>
      <c r="J40">
        <f t="shared" si="3"/>
        <v>2017.1930227831258</v>
      </c>
      <c r="K40">
        <f t="shared" ref="K40:L40" si="6">SUM(I40:I58)</f>
        <v>5763.9957183836686</v>
      </c>
      <c r="L40">
        <f t="shared" si="6"/>
        <v>13115.863093462487</v>
      </c>
      <c r="M40">
        <f t="shared" ref="M40" si="7">K40/L40</f>
        <v>0.43946751176875987</v>
      </c>
    </row>
    <row r="41" spans="1:13" x14ac:dyDescent="0.25">
      <c r="A41" t="s">
        <v>9</v>
      </c>
      <c r="B41" t="s">
        <v>28</v>
      </c>
      <c r="C41" t="s">
        <v>29</v>
      </c>
      <c r="D41">
        <v>1128</v>
      </c>
      <c r="E41" t="s">
        <v>8</v>
      </c>
      <c r="F41">
        <v>0.473621985304083</v>
      </c>
      <c r="G41">
        <f t="shared" si="0"/>
        <v>0.473621985304083</v>
      </c>
      <c r="H41">
        <f t="shared" si="1"/>
        <v>6.8888296184424415E-4</v>
      </c>
      <c r="I41">
        <f t="shared" si="2"/>
        <v>687.5217004004935</v>
      </c>
      <c r="J41">
        <f t="shared" si="3"/>
        <v>1451.6253926833208</v>
      </c>
    </row>
    <row r="42" spans="1:13" x14ac:dyDescent="0.25">
      <c r="A42" t="s">
        <v>10</v>
      </c>
      <c r="B42" t="s">
        <v>28</v>
      </c>
      <c r="C42" t="s">
        <v>29</v>
      </c>
      <c r="D42">
        <v>414</v>
      </c>
      <c r="E42" t="s">
        <v>8</v>
      </c>
      <c r="F42">
        <v>0.37903994646877698</v>
      </c>
      <c r="G42">
        <f t="shared" si="0"/>
        <v>0.37903994646877698</v>
      </c>
      <c r="H42">
        <f t="shared" si="1"/>
        <v>2.0784677645168609E-3</v>
      </c>
      <c r="I42">
        <f t="shared" si="2"/>
        <v>182.3650830384106</v>
      </c>
      <c r="J42">
        <f t="shared" si="3"/>
        <v>481.12365131265324</v>
      </c>
    </row>
    <row r="43" spans="1:13" x14ac:dyDescent="0.25">
      <c r="A43" t="s">
        <v>11</v>
      </c>
      <c r="B43" t="s">
        <v>28</v>
      </c>
      <c r="C43" t="s">
        <v>29</v>
      </c>
      <c r="D43">
        <v>395</v>
      </c>
      <c r="E43" t="s">
        <v>8</v>
      </c>
      <c r="F43">
        <v>0.595112992926637</v>
      </c>
      <c r="G43">
        <f t="shared" si="0"/>
        <v>0.595112992926637</v>
      </c>
      <c r="H43">
        <f t="shared" si="1"/>
        <v>1.6433601161575076E-3</v>
      </c>
      <c r="I43">
        <f t="shared" si="2"/>
        <v>362.13182191504427</v>
      </c>
      <c r="J43">
        <f t="shared" si="3"/>
        <v>608.50935237383794</v>
      </c>
    </row>
    <row r="44" spans="1:13" x14ac:dyDescent="0.25">
      <c r="A44" t="s">
        <v>12</v>
      </c>
      <c r="B44" t="s">
        <v>28</v>
      </c>
      <c r="C44" t="s">
        <v>29</v>
      </c>
      <c r="D44">
        <v>415</v>
      </c>
      <c r="E44" t="s">
        <v>8</v>
      </c>
      <c r="F44">
        <v>0.39987598081963799</v>
      </c>
      <c r="G44">
        <f t="shared" si="0"/>
        <v>0.39987598081963799</v>
      </c>
      <c r="H44">
        <f t="shared" si="1"/>
        <v>2.0341384987010475E-3</v>
      </c>
      <c r="I44">
        <f t="shared" si="2"/>
        <v>196.58247512398458</v>
      </c>
      <c r="J44">
        <f t="shared" si="3"/>
        <v>491.60861005215537</v>
      </c>
    </row>
    <row r="45" spans="1:13" x14ac:dyDescent="0.25">
      <c r="A45" t="s">
        <v>13</v>
      </c>
      <c r="B45" t="s">
        <v>28</v>
      </c>
      <c r="C45" t="s">
        <v>29</v>
      </c>
      <c r="D45">
        <v>1006</v>
      </c>
      <c r="E45" t="s">
        <v>8</v>
      </c>
      <c r="F45">
        <v>0.28664357195469398</v>
      </c>
      <c r="G45">
        <f t="shared" si="0"/>
        <v>0.28664357195469398</v>
      </c>
      <c r="H45">
        <f t="shared" si="1"/>
        <v>9.1417874766638863E-4</v>
      </c>
      <c r="I45">
        <f t="shared" si="2"/>
        <v>313.55309088775584</v>
      </c>
      <c r="J45">
        <f t="shared" si="3"/>
        <v>1093.8779779695012</v>
      </c>
    </row>
    <row r="46" spans="1:13" x14ac:dyDescent="0.25">
      <c r="A46" t="s">
        <v>14</v>
      </c>
      <c r="B46" t="s">
        <v>28</v>
      </c>
      <c r="C46" t="s">
        <v>29</v>
      </c>
      <c r="D46">
        <v>246</v>
      </c>
      <c r="E46" t="s">
        <v>8</v>
      </c>
      <c r="F46">
        <v>0.49240794651349101</v>
      </c>
      <c r="G46">
        <f t="shared" si="0"/>
        <v>0.49240794651349101</v>
      </c>
      <c r="H46">
        <f t="shared" si="1"/>
        <v>3.1046492385670777E-3</v>
      </c>
      <c r="I46">
        <f t="shared" si="2"/>
        <v>158.60340691522285</v>
      </c>
      <c r="J46">
        <f t="shared" si="3"/>
        <v>322.09757790916854</v>
      </c>
    </row>
    <row r="47" spans="1:13" x14ac:dyDescent="0.25">
      <c r="A47" t="s">
        <v>15</v>
      </c>
      <c r="B47" t="s">
        <v>28</v>
      </c>
      <c r="C47" t="s">
        <v>29</v>
      </c>
      <c r="D47">
        <v>246</v>
      </c>
      <c r="E47" t="s">
        <v>8</v>
      </c>
      <c r="F47">
        <v>0.73237478279813695</v>
      </c>
      <c r="G47">
        <f t="shared" si="0"/>
        <v>0.73237478279813695</v>
      </c>
      <c r="H47">
        <f t="shared" si="1"/>
        <v>1.9001113832843512E-3</v>
      </c>
      <c r="I47">
        <f t="shared" si="2"/>
        <v>385.43781656221847</v>
      </c>
      <c r="J47">
        <f t="shared" si="3"/>
        <v>526.2849371869429</v>
      </c>
    </row>
    <row r="48" spans="1:13" x14ac:dyDescent="0.25">
      <c r="A48" t="s">
        <v>16</v>
      </c>
      <c r="B48" t="s">
        <v>28</v>
      </c>
      <c r="C48" t="s">
        <v>29</v>
      </c>
      <c r="D48">
        <v>246</v>
      </c>
      <c r="E48" t="s">
        <v>8</v>
      </c>
      <c r="F48">
        <v>0.12657662714929399</v>
      </c>
      <c r="G48">
        <f t="shared" si="0"/>
        <v>0.12657662714929399</v>
      </c>
      <c r="H48">
        <f t="shared" si="1"/>
        <v>4.0326981863094613E-3</v>
      </c>
      <c r="I48">
        <f t="shared" si="2"/>
        <v>31.387577572506377</v>
      </c>
      <c r="J48">
        <f t="shared" si="3"/>
        <v>247.97293370351468</v>
      </c>
    </row>
    <row r="49" spans="1:13" x14ac:dyDescent="0.25">
      <c r="A49" t="s">
        <v>17</v>
      </c>
      <c r="B49" t="s">
        <v>28</v>
      </c>
      <c r="C49" t="s">
        <v>29</v>
      </c>
      <c r="D49">
        <v>246</v>
      </c>
      <c r="E49" t="s">
        <v>8</v>
      </c>
      <c r="F49">
        <v>0.55203116905438498</v>
      </c>
      <c r="G49">
        <f t="shared" si="0"/>
        <v>0.55203116905438498</v>
      </c>
      <c r="H49">
        <f t="shared" si="1"/>
        <v>2.8494327393133157E-3</v>
      </c>
      <c r="I49">
        <f t="shared" si="2"/>
        <v>193.73370756855235</v>
      </c>
      <c r="J49">
        <f t="shared" si="3"/>
        <v>350.94704507430833</v>
      </c>
    </row>
    <row r="50" spans="1:13" x14ac:dyDescent="0.25">
      <c r="A50" t="s">
        <v>18</v>
      </c>
      <c r="B50" t="s">
        <v>28</v>
      </c>
      <c r="C50" t="s">
        <v>29</v>
      </c>
      <c r="D50">
        <v>246</v>
      </c>
      <c r="E50" t="s">
        <v>8</v>
      </c>
      <c r="F50">
        <v>0.174626497768683</v>
      </c>
      <c r="G50">
        <f t="shared" si="0"/>
        <v>0.174626497768683</v>
      </c>
      <c r="H50">
        <f t="shared" si="1"/>
        <v>3.9733835503157552E-3</v>
      </c>
      <c r="I50">
        <f t="shared" si="2"/>
        <v>43.94906647127128</v>
      </c>
      <c r="J50">
        <f t="shared" si="3"/>
        <v>251.67467155808112</v>
      </c>
    </row>
    <row r="51" spans="1:13" x14ac:dyDescent="0.25">
      <c r="A51" t="s">
        <v>19</v>
      </c>
      <c r="B51" t="s">
        <v>28</v>
      </c>
      <c r="C51" t="s">
        <v>29</v>
      </c>
      <c r="D51">
        <v>266</v>
      </c>
      <c r="E51" t="s">
        <v>8</v>
      </c>
      <c r="F51">
        <v>1.4143683495661899E-2</v>
      </c>
      <c r="G51">
        <f t="shared" si="0"/>
        <v>1.4143683495661899E-2</v>
      </c>
      <c r="H51">
        <f t="shared" si="1"/>
        <v>3.7871210462771762E-3</v>
      </c>
      <c r="I51">
        <f t="shared" si="2"/>
        <v>3.7346795422780197</v>
      </c>
      <c r="J51">
        <f t="shared" si="3"/>
        <v>264.05282212540374</v>
      </c>
    </row>
    <row r="52" spans="1:13" x14ac:dyDescent="0.25">
      <c r="A52" t="s">
        <v>20</v>
      </c>
      <c r="B52" t="s">
        <v>28</v>
      </c>
      <c r="C52" t="s">
        <v>29</v>
      </c>
      <c r="D52">
        <v>245</v>
      </c>
      <c r="E52" t="s">
        <v>8</v>
      </c>
      <c r="F52">
        <v>0.58092428310726196</v>
      </c>
      <c r="G52">
        <f t="shared" si="0"/>
        <v>0.58092428310726196</v>
      </c>
      <c r="H52">
        <f t="shared" si="1"/>
        <v>2.7264484662399744E-3</v>
      </c>
      <c r="I52">
        <f t="shared" si="2"/>
        <v>213.06996640520057</v>
      </c>
      <c r="J52">
        <f t="shared" si="3"/>
        <v>366.77751748562952</v>
      </c>
    </row>
    <row r="53" spans="1:13" x14ac:dyDescent="0.25">
      <c r="A53" t="s">
        <v>21</v>
      </c>
      <c r="B53" t="s">
        <v>28</v>
      </c>
      <c r="C53" t="s">
        <v>29</v>
      </c>
      <c r="D53">
        <v>394</v>
      </c>
      <c r="E53" t="s">
        <v>8</v>
      </c>
      <c r="F53">
        <v>0.53529145859807803</v>
      </c>
      <c r="G53">
        <f t="shared" si="0"/>
        <v>0.53529145859807803</v>
      </c>
      <c r="H53">
        <f t="shared" si="1"/>
        <v>1.8200588121223013E-3</v>
      </c>
      <c r="I53">
        <f t="shared" si="2"/>
        <v>294.10668217577819</v>
      </c>
      <c r="J53">
        <f t="shared" si="3"/>
        <v>549.43279488531368</v>
      </c>
    </row>
    <row r="54" spans="1:13" x14ac:dyDescent="0.25">
      <c r="A54" t="s">
        <v>22</v>
      </c>
      <c r="B54" t="s">
        <v>28</v>
      </c>
      <c r="C54" t="s">
        <v>29</v>
      </c>
      <c r="D54">
        <v>398</v>
      </c>
      <c r="E54" t="s">
        <v>8</v>
      </c>
      <c r="F54">
        <v>0.46388335696354399</v>
      </c>
      <c r="G54">
        <f t="shared" si="0"/>
        <v>0.46388335696354399</v>
      </c>
      <c r="H54">
        <f t="shared" si="1"/>
        <v>1.9818490685157403E-3</v>
      </c>
      <c r="I54">
        <f t="shared" si="2"/>
        <v>234.06593586410625</v>
      </c>
      <c r="J54">
        <f t="shared" si="3"/>
        <v>504.57929207945523</v>
      </c>
    </row>
    <row r="55" spans="1:13" x14ac:dyDescent="0.25">
      <c r="A55" t="s">
        <v>23</v>
      </c>
      <c r="B55" t="s">
        <v>28</v>
      </c>
      <c r="C55" t="s">
        <v>29</v>
      </c>
      <c r="D55">
        <v>1127</v>
      </c>
      <c r="E55" t="s">
        <v>8</v>
      </c>
      <c r="F55">
        <v>2.50051586705329E-2</v>
      </c>
      <c r="G55">
        <f t="shared" si="0"/>
        <v>2.50051586705329E-2</v>
      </c>
      <c r="H55">
        <f t="shared" si="1"/>
        <v>8.8833310403543234E-4</v>
      </c>
      <c r="I55">
        <f t="shared" si="2"/>
        <v>28.148403517714158</v>
      </c>
      <c r="J55">
        <f t="shared" si="3"/>
        <v>1125.7038552962827</v>
      </c>
    </row>
    <row r="56" spans="1:13" x14ac:dyDescent="0.25">
      <c r="A56" t="s">
        <v>24</v>
      </c>
      <c r="B56" t="s">
        <v>28</v>
      </c>
      <c r="C56" t="s">
        <v>29</v>
      </c>
      <c r="D56">
        <v>1137</v>
      </c>
      <c r="E56" t="s">
        <v>8</v>
      </c>
      <c r="F56">
        <v>0.43714923882314199</v>
      </c>
      <c r="G56">
        <f t="shared" si="0"/>
        <v>0.43714923882314199</v>
      </c>
      <c r="H56">
        <f t="shared" si="1"/>
        <v>7.1268770308048244E-4</v>
      </c>
      <c r="I56">
        <f t="shared" si="2"/>
        <v>613.38120039623527</v>
      </c>
      <c r="J56">
        <f t="shared" si="3"/>
        <v>1403.1391248616394</v>
      </c>
    </row>
    <row r="57" spans="1:13" x14ac:dyDescent="0.25">
      <c r="A57" t="s">
        <v>25</v>
      </c>
      <c r="B57" t="s">
        <v>28</v>
      </c>
      <c r="C57" t="s">
        <v>29</v>
      </c>
      <c r="D57">
        <v>415</v>
      </c>
      <c r="E57" t="s">
        <v>8</v>
      </c>
      <c r="F57">
        <v>0.29478253852358199</v>
      </c>
      <c r="G57">
        <f t="shared" si="0"/>
        <v>0.29478253852358199</v>
      </c>
      <c r="H57">
        <f t="shared" si="1"/>
        <v>2.2109037650886029E-3</v>
      </c>
      <c r="I57">
        <f t="shared" si="2"/>
        <v>133.33123909704341</v>
      </c>
      <c r="J57">
        <f t="shared" si="3"/>
        <v>452.30372112552107</v>
      </c>
    </row>
    <row r="58" spans="1:13" x14ac:dyDescent="0.25">
      <c r="A58" t="s">
        <v>26</v>
      </c>
      <c r="B58" t="s">
        <v>28</v>
      </c>
      <c r="C58" t="s">
        <v>29</v>
      </c>
      <c r="D58">
        <v>397</v>
      </c>
      <c r="E58" t="s">
        <v>8</v>
      </c>
      <c r="F58">
        <v>0.59094371106857302</v>
      </c>
      <c r="G58">
        <f t="shared" si="0"/>
        <v>0.59094371106857302</v>
      </c>
      <c r="H58">
        <f t="shared" si="1"/>
        <v>1.647558304679754E-3</v>
      </c>
      <c r="I58">
        <f t="shared" si="2"/>
        <v>358.67848159913126</v>
      </c>
      <c r="J58">
        <f t="shared" si="3"/>
        <v>606.95879299663159</v>
      </c>
    </row>
    <row r="59" spans="1:13" x14ac:dyDescent="0.25">
      <c r="A59" t="s">
        <v>6</v>
      </c>
      <c r="B59" t="s">
        <v>30</v>
      </c>
      <c r="C59" t="s">
        <v>30</v>
      </c>
      <c r="D59">
        <v>1142</v>
      </c>
      <c r="E59" t="s">
        <v>8</v>
      </c>
      <c r="F59">
        <v>0.60618890116480195</v>
      </c>
      <c r="G59">
        <f t="shared" si="0"/>
        <v>0.60618890116480195</v>
      </c>
      <c r="H59">
        <f t="shared" si="1"/>
        <v>5.5485527728474555E-4</v>
      </c>
      <c r="I59">
        <f t="shared" si="2"/>
        <v>1092.5171409223392</v>
      </c>
      <c r="J59">
        <f t="shared" si="3"/>
        <v>1802.2717651594239</v>
      </c>
      <c r="K59">
        <f t="shared" ref="K59:L59" si="8">SUM(I59:I77)</f>
        <v>3758.3665959068148</v>
      </c>
      <c r="L59">
        <f t="shared" si="8"/>
        <v>11714.650123731823</v>
      </c>
      <c r="M59">
        <f t="shared" ref="M59" si="9">K59/L59</f>
        <v>0.32082619252051109</v>
      </c>
    </row>
    <row r="60" spans="1:13" x14ac:dyDescent="0.25">
      <c r="A60" t="s">
        <v>9</v>
      </c>
      <c r="B60" t="s">
        <v>30</v>
      </c>
      <c r="C60" t="s">
        <v>30</v>
      </c>
      <c r="D60">
        <v>1128</v>
      </c>
      <c r="E60" t="s">
        <v>8</v>
      </c>
      <c r="F60">
        <v>0.43098899501330801</v>
      </c>
      <c r="G60">
        <f t="shared" si="0"/>
        <v>0.43098899501330801</v>
      </c>
      <c r="H60">
        <f t="shared" si="1"/>
        <v>7.231336466939776E-4</v>
      </c>
      <c r="I60">
        <f t="shared" si="2"/>
        <v>596.0018552361704</v>
      </c>
      <c r="J60">
        <f t="shared" si="3"/>
        <v>1382.8702406143041</v>
      </c>
    </row>
    <row r="61" spans="1:13" x14ac:dyDescent="0.25">
      <c r="A61" t="s">
        <v>10</v>
      </c>
      <c r="B61" t="s">
        <v>30</v>
      </c>
      <c r="C61" t="s">
        <v>30</v>
      </c>
      <c r="D61">
        <v>414</v>
      </c>
      <c r="E61" t="s">
        <v>8</v>
      </c>
      <c r="F61">
        <v>0.17259011542545999</v>
      </c>
      <c r="G61">
        <f t="shared" si="0"/>
        <v>0.17259011542545999</v>
      </c>
      <c r="H61">
        <f t="shared" si="1"/>
        <v>2.3548850778092874E-3</v>
      </c>
      <c r="I61">
        <f t="shared" si="2"/>
        <v>73.290249724635331</v>
      </c>
      <c r="J61">
        <f t="shared" si="3"/>
        <v>424.64917265953562</v>
      </c>
    </row>
    <row r="62" spans="1:13" x14ac:dyDescent="0.25">
      <c r="A62" t="s">
        <v>11</v>
      </c>
      <c r="B62" t="s">
        <v>30</v>
      </c>
      <c r="C62" t="s">
        <v>30</v>
      </c>
      <c r="D62">
        <v>395</v>
      </c>
      <c r="E62" t="s">
        <v>8</v>
      </c>
      <c r="F62">
        <v>0.43760209537566702</v>
      </c>
      <c r="G62">
        <f t="shared" si="0"/>
        <v>0.43760209537566702</v>
      </c>
      <c r="H62">
        <f t="shared" si="1"/>
        <v>2.0572631199054087E-3</v>
      </c>
      <c r="I62">
        <f t="shared" si="2"/>
        <v>212.71080550736147</v>
      </c>
      <c r="J62">
        <f t="shared" si="3"/>
        <v>486.08269419906736</v>
      </c>
    </row>
    <row r="63" spans="1:13" x14ac:dyDescent="0.25">
      <c r="A63" t="s">
        <v>12</v>
      </c>
      <c r="B63" t="s">
        <v>30</v>
      </c>
      <c r="C63" t="s">
        <v>30</v>
      </c>
      <c r="D63">
        <v>415</v>
      </c>
      <c r="E63" t="s">
        <v>8</v>
      </c>
      <c r="F63">
        <v>0.35977974028735099</v>
      </c>
      <c r="G63">
        <f t="shared" si="0"/>
        <v>0.35977974028735099</v>
      </c>
      <c r="H63">
        <f t="shared" si="1"/>
        <v>2.1078899236774001E-3</v>
      </c>
      <c r="I63">
        <f t="shared" si="2"/>
        <v>170.68241384240952</v>
      </c>
      <c r="J63">
        <f t="shared" si="3"/>
        <v>474.40807452384024</v>
      </c>
    </row>
    <row r="64" spans="1:13" x14ac:dyDescent="0.25">
      <c r="A64" t="s">
        <v>13</v>
      </c>
      <c r="B64" t="s">
        <v>30</v>
      </c>
      <c r="C64" t="s">
        <v>30</v>
      </c>
      <c r="D64">
        <v>1006</v>
      </c>
      <c r="E64" t="s">
        <v>8</v>
      </c>
      <c r="F64">
        <v>4.1337331542161002E-2</v>
      </c>
      <c r="G64">
        <f t="shared" si="0"/>
        <v>4.1337331542161002E-2</v>
      </c>
      <c r="H64">
        <f t="shared" si="1"/>
        <v>9.9431396914439595E-4</v>
      </c>
      <c r="I64">
        <f t="shared" si="2"/>
        <v>41.57372100256385</v>
      </c>
      <c r="J64">
        <f t="shared" si="3"/>
        <v>1005.7185466885242</v>
      </c>
    </row>
    <row r="65" spans="1:13" x14ac:dyDescent="0.25">
      <c r="A65" t="s">
        <v>14</v>
      </c>
      <c r="B65" t="s">
        <v>30</v>
      </c>
      <c r="C65" t="s">
        <v>30</v>
      </c>
      <c r="D65">
        <v>246</v>
      </c>
      <c r="E65" t="s">
        <v>8</v>
      </c>
      <c r="F65">
        <v>0.16364916467486701</v>
      </c>
      <c r="G65">
        <f t="shared" si="0"/>
        <v>0.16364916467486701</v>
      </c>
      <c r="H65">
        <f t="shared" si="1"/>
        <v>3.9886022577918781E-3</v>
      </c>
      <c r="I65">
        <f t="shared" si="2"/>
        <v>41.029201233382565</v>
      </c>
      <c r="J65">
        <f t="shared" si="3"/>
        <v>250.71439450912007</v>
      </c>
    </row>
    <row r="66" spans="1:13" x14ac:dyDescent="0.25">
      <c r="A66" t="s">
        <v>15</v>
      </c>
      <c r="B66" t="s">
        <v>30</v>
      </c>
      <c r="C66" t="s">
        <v>30</v>
      </c>
      <c r="D66">
        <v>246</v>
      </c>
      <c r="E66" t="s">
        <v>8</v>
      </c>
      <c r="F66">
        <v>0.21823470922601701</v>
      </c>
      <c r="G66">
        <f t="shared" si="0"/>
        <v>0.21823470922601701</v>
      </c>
      <c r="H66">
        <f t="shared" si="1"/>
        <v>3.9031705397091629E-3</v>
      </c>
      <c r="I66">
        <f t="shared" si="2"/>
        <v>55.912163459370227</v>
      </c>
      <c r="J66">
        <f t="shared" si="3"/>
        <v>256.20197473475321</v>
      </c>
    </row>
    <row r="67" spans="1:13" x14ac:dyDescent="0.25">
      <c r="A67" t="s">
        <v>16</v>
      </c>
      <c r="B67" t="s">
        <v>30</v>
      </c>
      <c r="C67" t="s">
        <v>30</v>
      </c>
      <c r="D67">
        <v>246</v>
      </c>
      <c r="E67" t="s">
        <v>8</v>
      </c>
      <c r="F67">
        <v>8.4946642875468298E-2</v>
      </c>
      <c r="G67">
        <f t="shared" ref="G67:G130" si="10">AVERAGE(F67)</f>
        <v>8.4946642875468298E-2</v>
      </c>
      <c r="H67">
        <f t="shared" ref="H67:H130" si="11">(1-G67^2)/(D67-2)</f>
        <v>4.0687871633778181E-3</v>
      </c>
      <c r="I67">
        <f t="shared" ref="I67:I130" si="12">G67/H67</f>
        <v>20.877632440461067</v>
      </c>
      <c r="J67">
        <f t="shared" ref="J67:J130" si="13">1/H67</f>
        <v>245.77348478700515</v>
      </c>
    </row>
    <row r="68" spans="1:13" x14ac:dyDescent="0.25">
      <c r="A68" t="s">
        <v>17</v>
      </c>
      <c r="B68" t="s">
        <v>30</v>
      </c>
      <c r="C68" t="s">
        <v>30</v>
      </c>
      <c r="D68">
        <v>246</v>
      </c>
      <c r="E68" t="s">
        <v>8</v>
      </c>
      <c r="F68">
        <v>0.16375398028934399</v>
      </c>
      <c r="G68">
        <f t="shared" si="10"/>
        <v>0.16375398028934399</v>
      </c>
      <c r="H68">
        <f t="shared" si="11"/>
        <v>3.9884616145057263E-3</v>
      </c>
      <c r="I68">
        <f t="shared" si="12"/>
        <v>41.056927737196574</v>
      </c>
      <c r="J68">
        <f t="shared" si="13"/>
        <v>250.72323533541788</v>
      </c>
    </row>
    <row r="69" spans="1:13" x14ac:dyDescent="0.25">
      <c r="A69" t="s">
        <v>18</v>
      </c>
      <c r="B69" t="s">
        <v>30</v>
      </c>
      <c r="C69" t="s">
        <v>30</v>
      </c>
      <c r="D69">
        <v>246</v>
      </c>
      <c r="E69" t="s">
        <v>8</v>
      </c>
      <c r="F69">
        <v>0.17063497566319899</v>
      </c>
      <c r="G69">
        <f t="shared" si="10"/>
        <v>0.17063497566319899</v>
      </c>
      <c r="H69">
        <f t="shared" si="11"/>
        <v>3.9790315781984406E-3</v>
      </c>
      <c r="I69">
        <f t="shared" si="12"/>
        <v>42.883543975405253</v>
      </c>
      <c r="J69">
        <f t="shared" si="13"/>
        <v>251.317432482595</v>
      </c>
    </row>
    <row r="70" spans="1:13" x14ac:dyDescent="0.25">
      <c r="A70" t="s">
        <v>19</v>
      </c>
      <c r="B70" t="s">
        <v>30</v>
      </c>
      <c r="C70" t="s">
        <v>30</v>
      </c>
      <c r="D70">
        <v>266</v>
      </c>
      <c r="E70" t="s">
        <v>8</v>
      </c>
      <c r="F70">
        <v>-0.203053360790489</v>
      </c>
      <c r="G70">
        <f t="shared" si="10"/>
        <v>-0.203053360790489</v>
      </c>
      <c r="H70">
        <f t="shared" si="11"/>
        <v>3.6317020176957859E-3</v>
      </c>
      <c r="I70">
        <f t="shared" si="12"/>
        <v>-55.911349499792031</v>
      </c>
      <c r="J70">
        <f t="shared" si="13"/>
        <v>275.35298742226439</v>
      </c>
    </row>
    <row r="71" spans="1:13" x14ac:dyDescent="0.25">
      <c r="A71" t="s">
        <v>20</v>
      </c>
      <c r="B71" t="s">
        <v>30</v>
      </c>
      <c r="C71" t="s">
        <v>30</v>
      </c>
      <c r="D71">
        <v>245</v>
      </c>
      <c r="E71" t="s">
        <v>8</v>
      </c>
      <c r="F71">
        <v>0.17523177556576899</v>
      </c>
      <c r="G71">
        <f t="shared" si="10"/>
        <v>0.17523177556576899</v>
      </c>
      <c r="H71">
        <f t="shared" si="11"/>
        <v>3.9888634766751764E-3</v>
      </c>
      <c r="I71">
        <f t="shared" si="12"/>
        <v>43.930251458951744</v>
      </c>
      <c r="J71">
        <f t="shared" si="13"/>
        <v>250.69797596420287</v>
      </c>
    </row>
    <row r="72" spans="1:13" x14ac:dyDescent="0.25">
      <c r="A72" t="s">
        <v>21</v>
      </c>
      <c r="B72" t="s">
        <v>30</v>
      </c>
      <c r="C72" t="s">
        <v>30</v>
      </c>
      <c r="D72">
        <v>394</v>
      </c>
      <c r="E72" t="s">
        <v>8</v>
      </c>
      <c r="F72">
        <v>0.38367047791693698</v>
      </c>
      <c r="G72">
        <f t="shared" si="10"/>
        <v>0.38367047791693698</v>
      </c>
      <c r="H72">
        <f t="shared" si="11"/>
        <v>2.1755024601402785E-3</v>
      </c>
      <c r="I72">
        <f t="shared" si="12"/>
        <v>176.35947784320021</v>
      </c>
      <c r="J72">
        <f t="shared" si="13"/>
        <v>459.66392514928208</v>
      </c>
    </row>
    <row r="73" spans="1:13" x14ac:dyDescent="0.25">
      <c r="A73" t="s">
        <v>22</v>
      </c>
      <c r="B73" t="s">
        <v>30</v>
      </c>
      <c r="C73" t="s">
        <v>30</v>
      </c>
      <c r="D73">
        <v>398</v>
      </c>
      <c r="E73" t="s">
        <v>8</v>
      </c>
      <c r="F73">
        <v>0.35874351388722397</v>
      </c>
      <c r="G73">
        <f t="shared" si="10"/>
        <v>0.35874351388722397</v>
      </c>
      <c r="H73">
        <f t="shared" si="11"/>
        <v>2.2002603314238561E-3</v>
      </c>
      <c r="I73">
        <f t="shared" si="12"/>
        <v>163.045939957055</v>
      </c>
      <c r="J73">
        <f t="shared" si="13"/>
        <v>454.4916734252393</v>
      </c>
    </row>
    <row r="74" spans="1:13" x14ac:dyDescent="0.25">
      <c r="A74" t="s">
        <v>23</v>
      </c>
      <c r="B74" t="s">
        <v>30</v>
      </c>
      <c r="C74" t="s">
        <v>30</v>
      </c>
      <c r="D74">
        <v>1127</v>
      </c>
      <c r="E74" t="s">
        <v>8</v>
      </c>
      <c r="F74">
        <v>0.12917129768096999</v>
      </c>
      <c r="G74">
        <f t="shared" si="10"/>
        <v>0.12917129768096999</v>
      </c>
      <c r="H74">
        <f t="shared" si="11"/>
        <v>8.7405757853814602E-4</v>
      </c>
      <c r="I74">
        <f t="shared" si="12"/>
        <v>147.78351089525236</v>
      </c>
      <c r="J74">
        <f t="shared" si="13"/>
        <v>1144.0893878781894</v>
      </c>
    </row>
    <row r="75" spans="1:13" x14ac:dyDescent="0.25">
      <c r="A75" t="s">
        <v>24</v>
      </c>
      <c r="B75" t="s">
        <v>30</v>
      </c>
      <c r="C75" t="s">
        <v>30</v>
      </c>
      <c r="D75">
        <v>1137</v>
      </c>
      <c r="E75" t="s">
        <v>8</v>
      </c>
      <c r="F75">
        <v>0.359540570393453</v>
      </c>
      <c r="G75">
        <f t="shared" si="10"/>
        <v>0.359540570393453</v>
      </c>
      <c r="H75">
        <f t="shared" si="11"/>
        <v>7.6716350505828237E-4</v>
      </c>
      <c r="I75">
        <f t="shared" si="12"/>
        <v>468.66224477940756</v>
      </c>
      <c r="J75">
        <f t="shared" si="13"/>
        <v>1303.5030908098643</v>
      </c>
    </row>
    <row r="76" spans="1:13" x14ac:dyDescent="0.25">
      <c r="A76" t="s">
        <v>25</v>
      </c>
      <c r="B76" t="s">
        <v>30</v>
      </c>
      <c r="C76" t="s">
        <v>30</v>
      </c>
      <c r="D76">
        <v>415</v>
      </c>
      <c r="E76" t="s">
        <v>8</v>
      </c>
      <c r="F76">
        <v>0.34554212013732499</v>
      </c>
      <c r="G76">
        <f t="shared" si="10"/>
        <v>0.34554212013732499</v>
      </c>
      <c r="H76">
        <f t="shared" si="11"/>
        <v>2.1322049472421367E-3</v>
      </c>
      <c r="I76">
        <f t="shared" si="12"/>
        <v>162.05858662145044</v>
      </c>
      <c r="J76">
        <f t="shared" si="13"/>
        <v>468.99806760763431</v>
      </c>
    </row>
    <row r="77" spans="1:13" x14ac:dyDescent="0.25">
      <c r="A77" t="s">
        <v>26</v>
      </c>
      <c r="B77" t="s">
        <v>30</v>
      </c>
      <c r="C77" t="s">
        <v>30</v>
      </c>
      <c r="D77">
        <v>397</v>
      </c>
      <c r="E77" t="s">
        <v>8</v>
      </c>
      <c r="F77">
        <v>0.50064743812505397</v>
      </c>
      <c r="G77">
        <f t="shared" si="10"/>
        <v>0.50064743812505397</v>
      </c>
      <c r="H77">
        <f t="shared" si="11"/>
        <v>1.8970940321489122E-3</v>
      </c>
      <c r="I77">
        <f t="shared" si="12"/>
        <v>263.90227876999387</v>
      </c>
      <c r="J77">
        <f t="shared" si="13"/>
        <v>527.12199978156127</v>
      </c>
    </row>
    <row r="78" spans="1:13" x14ac:dyDescent="0.25">
      <c r="A78" t="s">
        <v>6</v>
      </c>
      <c r="B78" t="s">
        <v>31</v>
      </c>
      <c r="C78" t="s">
        <v>32</v>
      </c>
      <c r="D78">
        <v>1142</v>
      </c>
      <c r="E78" t="s">
        <v>8</v>
      </c>
      <c r="F78">
        <v>0.60180751505821795</v>
      </c>
      <c r="G78">
        <f t="shared" si="10"/>
        <v>0.60180751505821795</v>
      </c>
      <c r="H78">
        <f t="shared" si="11"/>
        <v>5.5949799545566034E-4</v>
      </c>
      <c r="I78">
        <f t="shared" si="12"/>
        <v>1075.6205025687364</v>
      </c>
      <c r="J78">
        <f t="shared" si="13"/>
        <v>1787.3165017965628</v>
      </c>
      <c r="K78">
        <f t="shared" ref="K78:L78" si="14">SUM(I78:I96)</f>
        <v>4021.5636484912857</v>
      </c>
      <c r="L78">
        <f t="shared" si="14"/>
        <v>11875.736865287265</v>
      </c>
      <c r="M78">
        <f t="shared" ref="M78" si="15">K78/L78</f>
        <v>0.33863697841321339</v>
      </c>
    </row>
    <row r="79" spans="1:13" x14ac:dyDescent="0.25">
      <c r="A79" t="s">
        <v>9</v>
      </c>
      <c r="B79" t="s">
        <v>31</v>
      </c>
      <c r="C79" t="s">
        <v>32</v>
      </c>
      <c r="D79">
        <v>1128</v>
      </c>
      <c r="E79" t="s">
        <v>8</v>
      </c>
      <c r="F79">
        <v>0.43283820629946101</v>
      </c>
      <c r="G79">
        <f t="shared" si="10"/>
        <v>0.43283820629946101</v>
      </c>
      <c r="H79">
        <f t="shared" si="11"/>
        <v>7.2171499748442745E-4</v>
      </c>
      <c r="I79">
        <f t="shared" si="12"/>
        <v>599.73564053419909</v>
      </c>
      <c r="J79">
        <f t="shared" si="13"/>
        <v>1385.5884989026811</v>
      </c>
    </row>
    <row r="80" spans="1:13" x14ac:dyDescent="0.25">
      <c r="A80" t="s">
        <v>10</v>
      </c>
      <c r="B80" t="s">
        <v>31</v>
      </c>
      <c r="C80" t="s">
        <v>32</v>
      </c>
      <c r="D80">
        <v>414</v>
      </c>
      <c r="E80" t="s">
        <v>8</v>
      </c>
      <c r="F80">
        <v>0.21668897466813999</v>
      </c>
      <c r="G80">
        <f t="shared" si="10"/>
        <v>0.21668897466813999</v>
      </c>
      <c r="H80">
        <f t="shared" si="11"/>
        <v>2.313218175381724E-3</v>
      </c>
      <c r="I80">
        <f t="shared" si="12"/>
        <v>93.67424870435417</v>
      </c>
      <c r="J80">
        <f t="shared" si="13"/>
        <v>432.29817690455479</v>
      </c>
    </row>
    <row r="81" spans="1:10" x14ac:dyDescent="0.25">
      <c r="A81" t="s">
        <v>11</v>
      </c>
      <c r="B81" t="s">
        <v>31</v>
      </c>
      <c r="C81" t="s">
        <v>32</v>
      </c>
      <c r="D81">
        <v>395</v>
      </c>
      <c r="E81" t="s">
        <v>8</v>
      </c>
      <c r="F81">
        <v>0.45686816159329302</v>
      </c>
      <c r="G81">
        <f t="shared" si="10"/>
        <v>0.45686816159329302</v>
      </c>
      <c r="H81">
        <f t="shared" si="11"/>
        <v>2.0134134425505465E-3</v>
      </c>
      <c r="I81">
        <f t="shared" si="12"/>
        <v>226.91224362470868</v>
      </c>
      <c r="J81">
        <f t="shared" si="13"/>
        <v>496.66897958783005</v>
      </c>
    </row>
    <row r="82" spans="1:10" x14ac:dyDescent="0.25">
      <c r="A82" t="s">
        <v>12</v>
      </c>
      <c r="B82" t="s">
        <v>31</v>
      </c>
      <c r="C82" t="s">
        <v>32</v>
      </c>
      <c r="D82">
        <v>415</v>
      </c>
      <c r="E82" t="s">
        <v>8</v>
      </c>
      <c r="F82">
        <v>0.40070402765260299</v>
      </c>
      <c r="G82">
        <f t="shared" si="10"/>
        <v>0.40070402765260299</v>
      </c>
      <c r="H82">
        <f t="shared" si="11"/>
        <v>2.0325333709999564E-3</v>
      </c>
      <c r="I82">
        <f t="shared" si="12"/>
        <v>197.14511622284778</v>
      </c>
      <c r="J82">
        <f t="shared" si="13"/>
        <v>491.9968421025356</v>
      </c>
    </row>
    <row r="83" spans="1:10" x14ac:dyDescent="0.25">
      <c r="A83" t="s">
        <v>13</v>
      </c>
      <c r="B83" t="s">
        <v>31</v>
      </c>
      <c r="C83" t="s">
        <v>32</v>
      </c>
      <c r="D83">
        <v>1006</v>
      </c>
      <c r="E83" t="s">
        <v>8</v>
      </c>
      <c r="F83">
        <v>4.0571437776942602E-2</v>
      </c>
      <c r="G83">
        <f t="shared" si="10"/>
        <v>4.0571437776942602E-2</v>
      </c>
      <c r="H83">
        <f t="shared" si="11"/>
        <v>9.9437645262620685E-4</v>
      </c>
      <c r="I83">
        <f t="shared" si="12"/>
        <v>40.800883478074169</v>
      </c>
      <c r="J83">
        <f t="shared" si="13"/>
        <v>1005.655350505275</v>
      </c>
    </row>
    <row r="84" spans="1:10" x14ac:dyDescent="0.25">
      <c r="A84" t="s">
        <v>14</v>
      </c>
      <c r="B84" t="s">
        <v>31</v>
      </c>
      <c r="C84" t="s">
        <v>32</v>
      </c>
      <c r="D84">
        <v>246</v>
      </c>
      <c r="E84" t="s">
        <v>8</v>
      </c>
      <c r="F84">
        <v>0.19705420605889401</v>
      </c>
      <c r="G84">
        <f t="shared" si="10"/>
        <v>0.19705420605889401</v>
      </c>
      <c r="H84">
        <f t="shared" si="11"/>
        <v>3.9392198355512253E-3</v>
      </c>
      <c r="I84">
        <f t="shared" si="12"/>
        <v>50.023663132605975</v>
      </c>
      <c r="J84">
        <f t="shared" si="13"/>
        <v>253.85737322275324</v>
      </c>
    </row>
    <row r="85" spans="1:10" x14ac:dyDescent="0.25">
      <c r="A85" t="s">
        <v>15</v>
      </c>
      <c r="B85" t="s">
        <v>31</v>
      </c>
      <c r="C85" t="s">
        <v>32</v>
      </c>
      <c r="D85">
        <v>246</v>
      </c>
      <c r="E85" t="s">
        <v>8</v>
      </c>
      <c r="F85">
        <v>0.23601758776701701</v>
      </c>
      <c r="G85">
        <f t="shared" si="10"/>
        <v>0.23601758776701701</v>
      </c>
      <c r="H85">
        <f t="shared" si="11"/>
        <v>3.8700643371501575E-3</v>
      </c>
      <c r="I85">
        <f t="shared" si="12"/>
        <v>60.98544292956533</v>
      </c>
      <c r="J85">
        <f t="shared" si="13"/>
        <v>258.39363712913911</v>
      </c>
    </row>
    <row r="86" spans="1:10" x14ac:dyDescent="0.25">
      <c r="A86" t="s">
        <v>16</v>
      </c>
      <c r="B86" t="s">
        <v>31</v>
      </c>
      <c r="C86" t="s">
        <v>32</v>
      </c>
      <c r="D86">
        <v>246</v>
      </c>
      <c r="E86" t="s">
        <v>8</v>
      </c>
      <c r="F86">
        <v>8.0680740576088997E-2</v>
      </c>
      <c r="G86">
        <f t="shared" si="10"/>
        <v>8.0680740576088997E-2</v>
      </c>
      <c r="H86">
        <f t="shared" si="11"/>
        <v>4.0716828610659582E-3</v>
      </c>
      <c r="I86">
        <f t="shared" si="12"/>
        <v>19.815084653957292</v>
      </c>
      <c r="J86">
        <f t="shared" si="13"/>
        <v>245.59869570445917</v>
      </c>
    </row>
    <row r="87" spans="1:10" x14ac:dyDescent="0.25">
      <c r="A87" t="s">
        <v>17</v>
      </c>
      <c r="B87" t="s">
        <v>31</v>
      </c>
      <c r="C87" t="s">
        <v>32</v>
      </c>
      <c r="D87">
        <v>246</v>
      </c>
      <c r="E87" t="s">
        <v>8</v>
      </c>
      <c r="F87">
        <v>0.18468653470405999</v>
      </c>
      <c r="G87">
        <f t="shared" si="10"/>
        <v>0.18468653470405999</v>
      </c>
      <c r="H87">
        <f t="shared" si="11"/>
        <v>3.9585691963074021E-3</v>
      </c>
      <c r="I87">
        <f t="shared" si="12"/>
        <v>46.654870875147935</v>
      </c>
      <c r="J87">
        <f t="shared" si="13"/>
        <v>252.61652642899642</v>
      </c>
    </row>
    <row r="88" spans="1:10" x14ac:dyDescent="0.25">
      <c r="A88" t="s">
        <v>18</v>
      </c>
      <c r="B88" t="s">
        <v>31</v>
      </c>
      <c r="C88" t="s">
        <v>32</v>
      </c>
      <c r="D88">
        <v>246</v>
      </c>
      <c r="E88" t="s">
        <v>8</v>
      </c>
      <c r="F88">
        <v>0.18382640126236499</v>
      </c>
      <c r="G88">
        <f t="shared" si="10"/>
        <v>0.18382640126236499</v>
      </c>
      <c r="H88">
        <f t="shared" si="11"/>
        <v>3.9598682549136389E-3</v>
      </c>
      <c r="I88">
        <f t="shared" si="12"/>
        <v>46.422352823042111</v>
      </c>
      <c r="J88">
        <f t="shared" si="13"/>
        <v>252.53365405759163</v>
      </c>
    </row>
    <row r="89" spans="1:10" x14ac:dyDescent="0.25">
      <c r="A89" t="s">
        <v>19</v>
      </c>
      <c r="B89" t="s">
        <v>31</v>
      </c>
      <c r="C89" t="s">
        <v>32</v>
      </c>
      <c r="D89">
        <v>266</v>
      </c>
      <c r="E89" t="s">
        <v>8</v>
      </c>
      <c r="F89">
        <v>-0.207630849037682</v>
      </c>
      <c r="G89">
        <f t="shared" si="10"/>
        <v>-0.207630849037682</v>
      </c>
      <c r="H89">
        <f t="shared" si="11"/>
        <v>3.6245811762420127E-3</v>
      </c>
      <c r="I89">
        <f t="shared" si="12"/>
        <v>-57.284094062684204</v>
      </c>
      <c r="J89">
        <f t="shared" si="13"/>
        <v>275.89394508658955</v>
      </c>
    </row>
    <row r="90" spans="1:10" x14ac:dyDescent="0.25">
      <c r="A90" t="s">
        <v>20</v>
      </c>
      <c r="B90" t="s">
        <v>31</v>
      </c>
      <c r="C90" t="s">
        <v>32</v>
      </c>
      <c r="D90">
        <v>245</v>
      </c>
      <c r="E90" t="s">
        <v>8</v>
      </c>
      <c r="F90">
        <v>0.19327259131368299</v>
      </c>
      <c r="G90">
        <f t="shared" si="10"/>
        <v>0.19327259131368299</v>
      </c>
      <c r="H90">
        <f t="shared" si="11"/>
        <v>3.9615049606868073E-3</v>
      </c>
      <c r="I90">
        <f t="shared" si="12"/>
        <v>48.787668633936349</v>
      </c>
      <c r="J90">
        <f t="shared" si="13"/>
        <v>252.42931914103414</v>
      </c>
    </row>
    <row r="91" spans="1:10" x14ac:dyDescent="0.25">
      <c r="A91" t="s">
        <v>21</v>
      </c>
      <c r="B91" t="s">
        <v>31</v>
      </c>
      <c r="C91" t="s">
        <v>32</v>
      </c>
      <c r="D91">
        <v>394</v>
      </c>
      <c r="E91" t="s">
        <v>8</v>
      </c>
      <c r="F91">
        <v>0.41823534297737602</v>
      </c>
      <c r="G91">
        <f t="shared" si="10"/>
        <v>0.41823534297737602</v>
      </c>
      <c r="H91">
        <f t="shared" si="11"/>
        <v>2.1047938721545831E-3</v>
      </c>
      <c r="I91">
        <f t="shared" si="12"/>
        <v>198.70608163128452</v>
      </c>
      <c r="J91">
        <f t="shared" si="13"/>
        <v>475.10590620275076</v>
      </c>
    </row>
    <row r="92" spans="1:10" x14ac:dyDescent="0.25">
      <c r="A92" t="s">
        <v>22</v>
      </c>
      <c r="B92" t="s">
        <v>31</v>
      </c>
      <c r="C92" t="s">
        <v>32</v>
      </c>
      <c r="D92">
        <v>398</v>
      </c>
      <c r="E92" t="s">
        <v>8</v>
      </c>
      <c r="F92">
        <v>0.38577346760001402</v>
      </c>
      <c r="G92">
        <f t="shared" si="10"/>
        <v>0.38577346760001402</v>
      </c>
      <c r="H92">
        <f t="shared" si="11"/>
        <v>2.1494414941814672E-3</v>
      </c>
      <c r="I92">
        <f t="shared" si="12"/>
        <v>179.47614235805062</v>
      </c>
      <c r="J92">
        <f t="shared" si="13"/>
        <v>465.23713378893888</v>
      </c>
    </row>
    <row r="93" spans="1:10" x14ac:dyDescent="0.25">
      <c r="A93" t="s">
        <v>23</v>
      </c>
      <c r="B93" t="s">
        <v>31</v>
      </c>
      <c r="C93" t="s">
        <v>32</v>
      </c>
      <c r="D93">
        <v>1127</v>
      </c>
      <c r="E93" t="s">
        <v>8</v>
      </c>
      <c r="F93">
        <v>0.14155354511997401</v>
      </c>
      <c r="G93">
        <f t="shared" si="10"/>
        <v>0.14155354511997401</v>
      </c>
      <c r="H93">
        <f t="shared" si="11"/>
        <v>8.7107786121241556E-4</v>
      </c>
      <c r="I93">
        <f t="shared" si="12"/>
        <v>162.50389479874022</v>
      </c>
      <c r="J93">
        <f t="shared" si="13"/>
        <v>1148.003002404565</v>
      </c>
    </row>
    <row r="94" spans="1:10" x14ac:dyDescent="0.25">
      <c r="A94" t="s">
        <v>24</v>
      </c>
      <c r="B94" t="s">
        <v>31</v>
      </c>
      <c r="C94" t="s">
        <v>32</v>
      </c>
      <c r="D94">
        <v>1137</v>
      </c>
      <c r="E94" t="s">
        <v>8</v>
      </c>
      <c r="F94">
        <v>0.40788500220447399</v>
      </c>
      <c r="G94">
        <f t="shared" si="10"/>
        <v>0.40788500220447399</v>
      </c>
      <c r="H94">
        <f t="shared" si="11"/>
        <v>7.34475616719521E-4</v>
      </c>
      <c r="I94">
        <f t="shared" si="12"/>
        <v>555.34178796331059</v>
      </c>
      <c r="J94">
        <f t="shared" si="13"/>
        <v>1361.5155864076514</v>
      </c>
    </row>
    <row r="95" spans="1:10" x14ac:dyDescent="0.25">
      <c r="A95" t="s">
        <v>25</v>
      </c>
      <c r="B95" t="s">
        <v>31</v>
      </c>
      <c r="C95" t="s">
        <v>32</v>
      </c>
      <c r="D95">
        <v>415</v>
      </c>
      <c r="E95" t="s">
        <v>8</v>
      </c>
      <c r="F95">
        <v>0.365597831251747</v>
      </c>
      <c r="G95">
        <f t="shared" si="10"/>
        <v>0.365597831251747</v>
      </c>
      <c r="H95">
        <f t="shared" si="11"/>
        <v>2.0976712488717168E-3</v>
      </c>
      <c r="I95">
        <f t="shared" si="12"/>
        <v>174.28747781540727</v>
      </c>
      <c r="J95">
        <f t="shared" si="13"/>
        <v>476.71912390364992</v>
      </c>
    </row>
    <row r="96" spans="1:10" x14ac:dyDescent="0.25">
      <c r="A96" t="s">
        <v>26</v>
      </c>
      <c r="B96" t="s">
        <v>31</v>
      </c>
      <c r="C96" t="s">
        <v>32</v>
      </c>
      <c r="D96">
        <v>397</v>
      </c>
      <c r="E96" t="s">
        <v>8</v>
      </c>
      <c r="F96">
        <v>0.54083822694239703</v>
      </c>
      <c r="G96">
        <f t="shared" si="10"/>
        <v>0.54083822694239703</v>
      </c>
      <c r="H96">
        <f t="shared" si="11"/>
        <v>1.79112408171596E-3</v>
      </c>
      <c r="I96">
        <f t="shared" si="12"/>
        <v>301.95463980600101</v>
      </c>
      <c r="J96">
        <f t="shared" si="13"/>
        <v>558.30861200970776</v>
      </c>
    </row>
    <row r="97" spans="1:13" x14ac:dyDescent="0.25">
      <c r="A97" t="s">
        <v>6</v>
      </c>
      <c r="B97" t="s">
        <v>33</v>
      </c>
      <c r="C97" t="s">
        <v>34</v>
      </c>
      <c r="D97">
        <v>1142</v>
      </c>
      <c r="E97" t="s">
        <v>8</v>
      </c>
      <c r="F97">
        <v>0.33086529149014698</v>
      </c>
      <c r="G97">
        <f t="shared" si="10"/>
        <v>0.33086529149014698</v>
      </c>
      <c r="H97">
        <f t="shared" si="11"/>
        <v>7.8116505165538603E-4</v>
      </c>
      <c r="I97">
        <f t="shared" si="12"/>
        <v>423.55362773718849</v>
      </c>
      <c r="J97">
        <f t="shared" si="13"/>
        <v>1280.1391945029741</v>
      </c>
      <c r="K97">
        <f t="shared" ref="K97:L97" si="16">SUM(I97:I115)</f>
        <v>3487.8603860882213</v>
      </c>
      <c r="L97">
        <f t="shared" si="16"/>
        <v>11320.677942280738</v>
      </c>
      <c r="M97">
        <f t="shared" ref="M97" si="17">K97/L97</f>
        <v>0.30809642354206346</v>
      </c>
    </row>
    <row r="98" spans="1:13" x14ac:dyDescent="0.25">
      <c r="A98" t="s">
        <v>9</v>
      </c>
      <c r="B98" t="s">
        <v>33</v>
      </c>
      <c r="C98" t="s">
        <v>34</v>
      </c>
      <c r="D98">
        <v>1128</v>
      </c>
      <c r="E98" t="s">
        <v>8</v>
      </c>
      <c r="F98">
        <v>0.23579076989992501</v>
      </c>
      <c r="G98">
        <f t="shared" si="10"/>
        <v>0.23579076989992501</v>
      </c>
      <c r="H98">
        <f t="shared" si="11"/>
        <v>8.3872354603019598E-4</v>
      </c>
      <c r="I98">
        <f t="shared" si="12"/>
        <v>281.13050005089042</v>
      </c>
      <c r="J98">
        <f t="shared" si="13"/>
        <v>1192.2879770493503</v>
      </c>
    </row>
    <row r="99" spans="1:13" x14ac:dyDescent="0.25">
      <c r="A99" t="s">
        <v>10</v>
      </c>
      <c r="B99" t="s">
        <v>33</v>
      </c>
      <c r="C99" t="s">
        <v>34</v>
      </c>
      <c r="D99">
        <v>414</v>
      </c>
      <c r="E99" t="s">
        <v>8</v>
      </c>
      <c r="F99">
        <v>0.293797207063625</v>
      </c>
      <c r="G99">
        <f t="shared" si="10"/>
        <v>0.293797207063625</v>
      </c>
      <c r="H99">
        <f t="shared" si="11"/>
        <v>2.2176776726252753E-3</v>
      </c>
      <c r="I99">
        <f t="shared" si="12"/>
        <v>132.47967037330065</v>
      </c>
      <c r="J99">
        <f t="shared" si="13"/>
        <v>450.92215714838539</v>
      </c>
    </row>
    <row r="100" spans="1:13" x14ac:dyDescent="0.25">
      <c r="A100" t="s">
        <v>11</v>
      </c>
      <c r="B100" t="s">
        <v>33</v>
      </c>
      <c r="C100" t="s">
        <v>34</v>
      </c>
      <c r="D100">
        <v>395</v>
      </c>
      <c r="E100" t="s">
        <v>8</v>
      </c>
      <c r="F100">
        <v>0.37729937965148702</v>
      </c>
      <c r="G100">
        <f t="shared" si="10"/>
        <v>0.37729937965148702</v>
      </c>
      <c r="H100">
        <f t="shared" si="11"/>
        <v>2.1823032522000079E-3</v>
      </c>
      <c r="I100">
        <f t="shared" si="12"/>
        <v>172.89044465801291</v>
      </c>
      <c r="J100">
        <f t="shared" si="13"/>
        <v>458.23145751713798</v>
      </c>
    </row>
    <row r="101" spans="1:13" x14ac:dyDescent="0.25">
      <c r="A101" t="s">
        <v>12</v>
      </c>
      <c r="B101" t="s">
        <v>33</v>
      </c>
      <c r="C101" t="s">
        <v>34</v>
      </c>
      <c r="D101">
        <v>415</v>
      </c>
      <c r="E101" t="s">
        <v>8</v>
      </c>
      <c r="F101">
        <v>0.27452239170083198</v>
      </c>
      <c r="G101">
        <f t="shared" si="10"/>
        <v>0.27452239170083198</v>
      </c>
      <c r="H101">
        <f t="shared" si="11"/>
        <v>2.2388316136921428E-3</v>
      </c>
      <c r="I101">
        <f t="shared" si="12"/>
        <v>122.61859713875783</v>
      </c>
      <c r="J101">
        <f t="shared" si="13"/>
        <v>446.66155055353261</v>
      </c>
    </row>
    <row r="102" spans="1:13" x14ac:dyDescent="0.25">
      <c r="A102" t="s">
        <v>13</v>
      </c>
      <c r="B102" t="s">
        <v>33</v>
      </c>
      <c r="C102" t="s">
        <v>34</v>
      </c>
      <c r="D102">
        <v>1006</v>
      </c>
      <c r="E102" t="s">
        <v>8</v>
      </c>
      <c r="F102">
        <v>0.47290240790317001</v>
      </c>
      <c r="G102">
        <f t="shared" si="10"/>
        <v>0.47290240790317001</v>
      </c>
      <c r="H102">
        <f t="shared" si="11"/>
        <v>7.7327023167269313E-4</v>
      </c>
      <c r="I102">
        <f t="shared" si="12"/>
        <v>611.56163593704503</v>
      </c>
      <c r="J102">
        <f t="shared" si="13"/>
        <v>1293.2089702158303</v>
      </c>
    </row>
    <row r="103" spans="1:13" x14ac:dyDescent="0.25">
      <c r="A103" t="s">
        <v>14</v>
      </c>
      <c r="B103" t="s">
        <v>33</v>
      </c>
      <c r="C103" t="s">
        <v>34</v>
      </c>
      <c r="D103">
        <v>246</v>
      </c>
      <c r="E103" t="s">
        <v>8</v>
      </c>
      <c r="F103">
        <v>0.34172622475754</v>
      </c>
      <c r="G103">
        <f t="shared" si="10"/>
        <v>0.34172622475754</v>
      </c>
      <c r="H103">
        <f t="shared" si="11"/>
        <v>3.6197671611186855E-3</v>
      </c>
      <c r="I103">
        <f t="shared" si="12"/>
        <v>94.405581781102697</v>
      </c>
      <c r="J103">
        <f t="shared" si="13"/>
        <v>276.26086305809542</v>
      </c>
    </row>
    <row r="104" spans="1:13" x14ac:dyDescent="0.25">
      <c r="A104" t="s">
        <v>15</v>
      </c>
      <c r="B104" t="s">
        <v>33</v>
      </c>
      <c r="C104" t="s">
        <v>34</v>
      </c>
      <c r="D104">
        <v>246</v>
      </c>
      <c r="E104" t="s">
        <v>8</v>
      </c>
      <c r="F104">
        <v>0.61725887282884295</v>
      </c>
      <c r="G104">
        <f t="shared" si="10"/>
        <v>0.61725887282884295</v>
      </c>
      <c r="H104">
        <f t="shared" si="11"/>
        <v>2.5368503439101076E-3</v>
      </c>
      <c r="I104">
        <f t="shared" si="12"/>
        <v>243.31702274460827</v>
      </c>
      <c r="J104">
        <f t="shared" si="13"/>
        <v>394.18959119940683</v>
      </c>
    </row>
    <row r="105" spans="1:13" x14ac:dyDescent="0.25">
      <c r="A105" t="s">
        <v>16</v>
      </c>
      <c r="B105" t="s">
        <v>33</v>
      </c>
      <c r="C105" t="s">
        <v>34</v>
      </c>
      <c r="D105">
        <v>246</v>
      </c>
      <c r="E105" t="s">
        <v>8</v>
      </c>
      <c r="F105">
        <v>0.11290280495909399</v>
      </c>
      <c r="G105">
        <f t="shared" si="10"/>
        <v>0.11290280495909399</v>
      </c>
      <c r="H105">
        <f t="shared" si="11"/>
        <v>4.0461186747228232E-3</v>
      </c>
      <c r="I105">
        <f t="shared" si="12"/>
        <v>27.903977622907547</v>
      </c>
      <c r="J105">
        <f t="shared" si="13"/>
        <v>247.15043734314204</v>
      </c>
    </row>
    <row r="106" spans="1:13" x14ac:dyDescent="0.25">
      <c r="A106" t="s">
        <v>17</v>
      </c>
      <c r="B106" t="s">
        <v>33</v>
      </c>
      <c r="C106" t="s">
        <v>34</v>
      </c>
      <c r="D106">
        <v>246</v>
      </c>
      <c r="E106" t="s">
        <v>8</v>
      </c>
      <c r="F106">
        <v>0.451732557364318</v>
      </c>
      <c r="G106">
        <f t="shared" si="10"/>
        <v>0.451732557364318</v>
      </c>
      <c r="H106">
        <f t="shared" si="11"/>
        <v>3.2620397402339883E-3</v>
      </c>
      <c r="I106">
        <f t="shared" si="12"/>
        <v>138.48162295285678</v>
      </c>
      <c r="J106">
        <f t="shared" si="13"/>
        <v>306.55665768445522</v>
      </c>
    </row>
    <row r="107" spans="1:13" x14ac:dyDescent="0.25">
      <c r="A107" t="s">
        <v>18</v>
      </c>
      <c r="B107" t="s">
        <v>33</v>
      </c>
      <c r="C107" t="s">
        <v>34</v>
      </c>
      <c r="D107">
        <v>246</v>
      </c>
      <c r="E107" t="s">
        <v>8</v>
      </c>
      <c r="F107">
        <v>0.295177468095012</v>
      </c>
      <c r="G107">
        <f t="shared" si="10"/>
        <v>0.295177468095012</v>
      </c>
      <c r="H107">
        <f t="shared" si="11"/>
        <v>3.7412715669222054E-3</v>
      </c>
      <c r="I107">
        <f t="shared" si="12"/>
        <v>78.897632212740632</v>
      </c>
      <c r="J107">
        <f t="shared" si="13"/>
        <v>267.28880331524823</v>
      </c>
    </row>
    <row r="108" spans="1:13" x14ac:dyDescent="0.25">
      <c r="A108" t="s">
        <v>19</v>
      </c>
      <c r="B108" t="s">
        <v>33</v>
      </c>
      <c r="C108" t="s">
        <v>34</v>
      </c>
      <c r="D108">
        <v>266</v>
      </c>
      <c r="E108" t="s">
        <v>8</v>
      </c>
      <c r="F108">
        <v>8.1372322811460104E-2</v>
      </c>
      <c r="G108">
        <f t="shared" si="10"/>
        <v>8.1372322811460104E-2</v>
      </c>
      <c r="H108">
        <f t="shared" si="11"/>
        <v>3.7627975192434378E-3</v>
      </c>
      <c r="I108">
        <f t="shared" si="12"/>
        <v>21.625485398911692</v>
      </c>
      <c r="J108">
        <f t="shared" si="13"/>
        <v>265.75971597883478</v>
      </c>
    </row>
    <row r="109" spans="1:13" x14ac:dyDescent="0.25">
      <c r="A109" t="s">
        <v>20</v>
      </c>
      <c r="B109" t="s">
        <v>33</v>
      </c>
      <c r="C109" t="s">
        <v>34</v>
      </c>
      <c r="D109">
        <v>245</v>
      </c>
      <c r="E109" t="s">
        <v>8</v>
      </c>
      <c r="F109">
        <v>0.48999334384520699</v>
      </c>
      <c r="G109">
        <f t="shared" si="10"/>
        <v>0.48999334384520699</v>
      </c>
      <c r="H109">
        <f t="shared" si="11"/>
        <v>3.1271873373966779E-3</v>
      </c>
      <c r="I109">
        <f t="shared" si="12"/>
        <v>156.68819644592091</v>
      </c>
      <c r="J109">
        <f t="shared" si="13"/>
        <v>319.77617331761149</v>
      </c>
    </row>
    <row r="110" spans="1:13" x14ac:dyDescent="0.25">
      <c r="A110" t="s">
        <v>21</v>
      </c>
      <c r="B110" t="s">
        <v>33</v>
      </c>
      <c r="C110" t="s">
        <v>34</v>
      </c>
      <c r="D110">
        <v>394</v>
      </c>
      <c r="E110" t="s">
        <v>8</v>
      </c>
      <c r="F110">
        <v>0.41347171642415798</v>
      </c>
      <c r="G110">
        <f t="shared" si="10"/>
        <v>0.41347171642415798</v>
      </c>
      <c r="H110">
        <f t="shared" si="11"/>
        <v>2.1149008666256652E-3</v>
      </c>
      <c r="I110">
        <f t="shared" si="12"/>
        <v>195.50406496539676</v>
      </c>
      <c r="J110">
        <f t="shared" si="13"/>
        <v>472.83540130914264</v>
      </c>
    </row>
    <row r="111" spans="1:13" x14ac:dyDescent="0.25">
      <c r="A111" t="s">
        <v>22</v>
      </c>
      <c r="B111" t="s">
        <v>33</v>
      </c>
      <c r="C111" t="s">
        <v>34</v>
      </c>
      <c r="D111">
        <v>398</v>
      </c>
      <c r="E111" t="s">
        <v>8</v>
      </c>
      <c r="F111">
        <v>0.33645279737876399</v>
      </c>
      <c r="G111">
        <f t="shared" si="10"/>
        <v>0.33645279737876399</v>
      </c>
      <c r="H111">
        <f t="shared" si="11"/>
        <v>2.2393927149899099E-3</v>
      </c>
      <c r="I111">
        <f t="shared" si="12"/>
        <v>150.24287393927685</v>
      </c>
      <c r="J111">
        <f t="shared" si="13"/>
        <v>446.5496352230947</v>
      </c>
    </row>
    <row r="112" spans="1:13" x14ac:dyDescent="0.25">
      <c r="A112" t="s">
        <v>23</v>
      </c>
      <c r="B112" t="s">
        <v>33</v>
      </c>
      <c r="C112" t="s">
        <v>34</v>
      </c>
      <c r="D112">
        <v>1127</v>
      </c>
      <c r="E112" t="s">
        <v>8</v>
      </c>
      <c r="F112">
        <v>0.171439927297558</v>
      </c>
      <c r="G112">
        <f t="shared" si="10"/>
        <v>0.171439927297558</v>
      </c>
      <c r="H112">
        <f t="shared" si="11"/>
        <v>8.6276297895840706E-4</v>
      </c>
      <c r="I112">
        <f t="shared" si="12"/>
        <v>198.71034279256313</v>
      </c>
      <c r="J112">
        <f t="shared" si="13"/>
        <v>1159.06688672163</v>
      </c>
    </row>
    <row r="113" spans="1:13" x14ac:dyDescent="0.25">
      <c r="A113" t="s">
        <v>24</v>
      </c>
      <c r="B113" t="s">
        <v>33</v>
      </c>
      <c r="C113" t="s">
        <v>34</v>
      </c>
      <c r="D113">
        <v>1137</v>
      </c>
      <c r="E113" t="s">
        <v>8</v>
      </c>
      <c r="F113">
        <v>0.211371227068509</v>
      </c>
      <c r="G113">
        <f t="shared" si="10"/>
        <v>0.211371227068509</v>
      </c>
      <c r="H113">
        <f t="shared" si="11"/>
        <v>8.4169357213000247E-4</v>
      </c>
      <c r="I113">
        <f t="shared" si="12"/>
        <v>251.12610345070092</v>
      </c>
      <c r="J113">
        <f t="shared" si="13"/>
        <v>1188.0808326353081</v>
      </c>
    </row>
    <row r="114" spans="1:13" x14ac:dyDescent="0.25">
      <c r="A114" t="s">
        <v>25</v>
      </c>
      <c r="B114" t="s">
        <v>33</v>
      </c>
      <c r="C114" t="s">
        <v>34</v>
      </c>
      <c r="D114">
        <v>415</v>
      </c>
      <c r="E114" t="s">
        <v>8</v>
      </c>
      <c r="F114">
        <v>0.12623544816760299</v>
      </c>
      <c r="G114">
        <f t="shared" si="10"/>
        <v>0.12623544816760299</v>
      </c>
      <c r="H114">
        <f t="shared" si="11"/>
        <v>2.3827230305712454E-3</v>
      </c>
      <c r="I114">
        <f t="shared" si="12"/>
        <v>52.979488823482221</v>
      </c>
      <c r="J114">
        <f t="shared" si="13"/>
        <v>419.68788951532281</v>
      </c>
    </row>
    <row r="115" spans="1:13" x14ac:dyDescent="0.25">
      <c r="A115" t="s">
        <v>26</v>
      </c>
      <c r="B115" t="s">
        <v>33</v>
      </c>
      <c r="C115" t="s">
        <v>34</v>
      </c>
      <c r="D115">
        <v>397</v>
      </c>
      <c r="E115" t="s">
        <v>8</v>
      </c>
      <c r="F115">
        <v>0.306734478748942</v>
      </c>
      <c r="G115">
        <f t="shared" si="10"/>
        <v>0.306734478748942</v>
      </c>
      <c r="H115">
        <f t="shared" si="11"/>
        <v>2.2934530621433287E-3</v>
      </c>
      <c r="I115">
        <f t="shared" si="12"/>
        <v>133.74351706255791</v>
      </c>
      <c r="J115">
        <f t="shared" si="13"/>
        <v>436.02374799223395</v>
      </c>
    </row>
    <row r="116" spans="1:13" x14ac:dyDescent="0.25">
      <c r="A116" t="s">
        <v>6</v>
      </c>
      <c r="B116" t="s">
        <v>35</v>
      </c>
      <c r="C116" t="s">
        <v>36</v>
      </c>
      <c r="D116">
        <v>1142</v>
      </c>
      <c r="E116" t="s">
        <v>8</v>
      </c>
      <c r="F116">
        <v>0.59473780336760795</v>
      </c>
      <c r="G116">
        <f t="shared" si="10"/>
        <v>0.59473780336760795</v>
      </c>
      <c r="H116">
        <f t="shared" si="11"/>
        <v>5.6691837302234426E-4</v>
      </c>
      <c r="I116">
        <f t="shared" si="12"/>
        <v>1049.0713154998898</v>
      </c>
      <c r="J116">
        <f t="shared" si="13"/>
        <v>1763.9223697563714</v>
      </c>
      <c r="K116">
        <f t="shared" ref="K116:L116" si="18">SUM(I116:I134)</f>
        <v>3989.7234035283827</v>
      </c>
      <c r="L116">
        <f t="shared" si="18"/>
        <v>11814.905138729015</v>
      </c>
      <c r="M116">
        <f t="shared" ref="M116" si="19">K116/L116</f>
        <v>0.33768560616285881</v>
      </c>
    </row>
    <row r="117" spans="1:13" x14ac:dyDescent="0.25">
      <c r="A117" t="s">
        <v>9</v>
      </c>
      <c r="B117" t="s">
        <v>35</v>
      </c>
      <c r="C117" t="s">
        <v>36</v>
      </c>
      <c r="D117">
        <v>1128</v>
      </c>
      <c r="E117" t="s">
        <v>8</v>
      </c>
      <c r="F117">
        <v>0.45375907546518301</v>
      </c>
      <c r="G117">
        <f t="shared" si="10"/>
        <v>0.45375907546518301</v>
      </c>
      <c r="H117">
        <f t="shared" si="11"/>
        <v>7.0524218599732E-4</v>
      </c>
      <c r="I117">
        <f t="shared" si="12"/>
        <v>643.40886644989689</v>
      </c>
      <c r="J117">
        <f t="shared" si="13"/>
        <v>1417.9526123864066</v>
      </c>
    </row>
    <row r="118" spans="1:13" x14ac:dyDescent="0.25">
      <c r="A118" t="s">
        <v>10</v>
      </c>
      <c r="B118" t="s">
        <v>35</v>
      </c>
      <c r="C118" t="s">
        <v>36</v>
      </c>
      <c r="D118">
        <v>414</v>
      </c>
      <c r="E118" t="s">
        <v>8</v>
      </c>
      <c r="F118">
        <v>0.23668947209202601</v>
      </c>
      <c r="G118">
        <f t="shared" si="10"/>
        <v>0.23668947209202601</v>
      </c>
      <c r="H118">
        <f t="shared" si="11"/>
        <v>2.2912089655359176E-3</v>
      </c>
      <c r="I118">
        <f t="shared" si="12"/>
        <v>103.30331089493792</v>
      </c>
      <c r="J118">
        <f t="shared" si="13"/>
        <v>436.45080612108131</v>
      </c>
    </row>
    <row r="119" spans="1:13" x14ac:dyDescent="0.25">
      <c r="A119" t="s">
        <v>11</v>
      </c>
      <c r="B119" t="s">
        <v>35</v>
      </c>
      <c r="C119" t="s">
        <v>36</v>
      </c>
      <c r="D119">
        <v>395</v>
      </c>
      <c r="E119" t="s">
        <v>8</v>
      </c>
      <c r="F119">
        <v>0.41611779908885099</v>
      </c>
      <c r="G119">
        <f t="shared" si="10"/>
        <v>0.41611779908885099</v>
      </c>
      <c r="H119">
        <f t="shared" si="11"/>
        <v>2.1039337844311725E-3</v>
      </c>
      <c r="I119">
        <f t="shared" si="12"/>
        <v>197.78084375471644</v>
      </c>
      <c r="J119">
        <f t="shared" si="13"/>
        <v>475.30012940514848</v>
      </c>
    </row>
    <row r="120" spans="1:13" x14ac:dyDescent="0.25">
      <c r="A120" t="s">
        <v>12</v>
      </c>
      <c r="B120" t="s">
        <v>35</v>
      </c>
      <c r="C120" t="s">
        <v>36</v>
      </c>
      <c r="D120">
        <v>415</v>
      </c>
      <c r="E120" t="s">
        <v>8</v>
      </c>
      <c r="F120">
        <v>0.43705627171156097</v>
      </c>
      <c r="G120">
        <f t="shared" si="10"/>
        <v>0.43705627171156097</v>
      </c>
      <c r="H120">
        <f t="shared" si="11"/>
        <v>1.9587937417859325E-3</v>
      </c>
      <c r="I120">
        <f t="shared" si="12"/>
        <v>223.12521343522081</v>
      </c>
      <c r="J120">
        <f t="shared" si="13"/>
        <v>510.51827390884392</v>
      </c>
    </row>
    <row r="121" spans="1:13" x14ac:dyDescent="0.25">
      <c r="A121" t="s">
        <v>13</v>
      </c>
      <c r="B121" t="s">
        <v>35</v>
      </c>
      <c r="C121" t="s">
        <v>36</v>
      </c>
      <c r="D121">
        <v>1006</v>
      </c>
      <c r="E121" t="s">
        <v>8</v>
      </c>
      <c r="F121">
        <v>6.9557072179019699E-2</v>
      </c>
      <c r="G121">
        <f t="shared" si="10"/>
        <v>6.9557072179019699E-2</v>
      </c>
      <c r="H121">
        <f t="shared" si="11"/>
        <v>9.9119702560745288E-4</v>
      </c>
      <c r="I121">
        <f t="shared" si="12"/>
        <v>70.174819316464152</v>
      </c>
      <c r="J121">
        <f t="shared" si="13"/>
        <v>1008.8811549723449</v>
      </c>
    </row>
    <row r="122" spans="1:13" x14ac:dyDescent="0.25">
      <c r="A122" t="s">
        <v>14</v>
      </c>
      <c r="B122" t="s">
        <v>35</v>
      </c>
      <c r="C122" t="s">
        <v>36</v>
      </c>
      <c r="D122">
        <v>246</v>
      </c>
      <c r="E122" t="s">
        <v>8</v>
      </c>
      <c r="F122">
        <v>0.228681336070609</v>
      </c>
      <c r="G122">
        <f t="shared" si="10"/>
        <v>0.228681336070609</v>
      </c>
      <c r="H122">
        <f t="shared" si="11"/>
        <v>3.8840362562826279E-3</v>
      </c>
      <c r="I122">
        <f t="shared" si="12"/>
        <v>58.877240319449953</v>
      </c>
      <c r="J122">
        <f t="shared" si="13"/>
        <v>257.46412598040212</v>
      </c>
    </row>
    <row r="123" spans="1:13" x14ac:dyDescent="0.25">
      <c r="A123" t="s">
        <v>15</v>
      </c>
      <c r="B123" t="s">
        <v>35</v>
      </c>
      <c r="C123" t="s">
        <v>36</v>
      </c>
      <c r="D123">
        <v>246</v>
      </c>
      <c r="E123" t="s">
        <v>8</v>
      </c>
      <c r="F123">
        <v>0.14236521083137901</v>
      </c>
      <c r="G123">
        <f t="shared" si="10"/>
        <v>0.14236521083137901</v>
      </c>
      <c r="H123">
        <f t="shared" si="11"/>
        <v>4.0152956833808895E-3</v>
      </c>
      <c r="I123">
        <f t="shared" si="12"/>
        <v>35.455722830231799</v>
      </c>
      <c r="J123">
        <f t="shared" si="13"/>
        <v>249.04766145590489</v>
      </c>
    </row>
    <row r="124" spans="1:13" x14ac:dyDescent="0.25">
      <c r="A124" t="s">
        <v>16</v>
      </c>
      <c r="B124" t="s">
        <v>35</v>
      </c>
      <c r="C124" t="s">
        <v>36</v>
      </c>
      <c r="D124">
        <v>246</v>
      </c>
      <c r="E124" t="s">
        <v>8</v>
      </c>
      <c r="F124">
        <v>7.1331886018946605E-2</v>
      </c>
      <c r="G124">
        <f t="shared" si="10"/>
        <v>7.1331886018946605E-2</v>
      </c>
      <c r="H124">
        <f t="shared" si="11"/>
        <v>4.077507221463033E-3</v>
      </c>
      <c r="I124">
        <f t="shared" si="12"/>
        <v>17.493993791960058</v>
      </c>
      <c r="J124">
        <f t="shared" si="13"/>
        <v>245.24787957118426</v>
      </c>
    </row>
    <row r="125" spans="1:13" x14ac:dyDescent="0.25">
      <c r="A125" t="s">
        <v>17</v>
      </c>
      <c r="B125" t="s">
        <v>35</v>
      </c>
      <c r="C125" t="s">
        <v>36</v>
      </c>
      <c r="D125">
        <v>246</v>
      </c>
      <c r="E125" t="s">
        <v>8</v>
      </c>
      <c r="F125">
        <v>0.16458518278340201</v>
      </c>
      <c r="G125">
        <f t="shared" si="10"/>
        <v>0.16458518278340201</v>
      </c>
      <c r="H125">
        <f t="shared" si="11"/>
        <v>3.987343104951452E-3</v>
      </c>
      <c r="I125">
        <f t="shared" si="12"/>
        <v>41.276905059667776</v>
      </c>
      <c r="J125">
        <f t="shared" si="13"/>
        <v>250.79356696397852</v>
      </c>
    </row>
    <row r="126" spans="1:13" x14ac:dyDescent="0.25">
      <c r="A126" t="s">
        <v>18</v>
      </c>
      <c r="B126" t="s">
        <v>35</v>
      </c>
      <c r="C126" t="s">
        <v>36</v>
      </c>
      <c r="D126">
        <v>246</v>
      </c>
      <c r="E126" t="s">
        <v>8</v>
      </c>
      <c r="F126">
        <v>0.15537926031633301</v>
      </c>
      <c r="G126">
        <f t="shared" si="10"/>
        <v>0.15537926031633301</v>
      </c>
      <c r="H126">
        <f t="shared" si="11"/>
        <v>3.9994151043588081E-3</v>
      </c>
      <c r="I126">
        <f t="shared" si="12"/>
        <v>38.850495950518152</v>
      </c>
      <c r="J126">
        <f t="shared" si="13"/>
        <v>250.03656132371421</v>
      </c>
    </row>
    <row r="127" spans="1:13" x14ac:dyDescent="0.25">
      <c r="A127" t="s">
        <v>19</v>
      </c>
      <c r="B127" t="s">
        <v>35</v>
      </c>
      <c r="C127" t="s">
        <v>36</v>
      </c>
      <c r="D127">
        <v>266</v>
      </c>
      <c r="E127" t="s">
        <v>8</v>
      </c>
      <c r="F127">
        <v>-0.13930495021675701</v>
      </c>
      <c r="G127">
        <f t="shared" si="10"/>
        <v>-0.13930495021675701</v>
      </c>
      <c r="H127">
        <f t="shared" si="11"/>
        <v>3.7143717077466167E-3</v>
      </c>
      <c r="I127">
        <f t="shared" si="12"/>
        <v>-37.504310601501054</v>
      </c>
      <c r="J127">
        <f t="shared" si="13"/>
        <v>269.22453612125588</v>
      </c>
    </row>
    <row r="128" spans="1:13" x14ac:dyDescent="0.25">
      <c r="A128" t="s">
        <v>20</v>
      </c>
      <c r="B128" t="s">
        <v>35</v>
      </c>
      <c r="C128" t="s">
        <v>36</v>
      </c>
      <c r="D128">
        <v>245</v>
      </c>
      <c r="E128" t="s">
        <v>8</v>
      </c>
      <c r="F128">
        <v>0.16643088089741401</v>
      </c>
      <c r="G128">
        <f t="shared" si="10"/>
        <v>0.16643088089741401</v>
      </c>
      <c r="H128">
        <f t="shared" si="11"/>
        <v>4.0012377032251478E-3</v>
      </c>
      <c r="I128">
        <f t="shared" si="12"/>
        <v>41.594849704446318</v>
      </c>
      <c r="J128">
        <f t="shared" si="13"/>
        <v>249.9226674771065</v>
      </c>
    </row>
    <row r="129" spans="1:13" x14ac:dyDescent="0.25">
      <c r="A129" t="s">
        <v>21</v>
      </c>
      <c r="B129" t="s">
        <v>35</v>
      </c>
      <c r="C129" t="s">
        <v>36</v>
      </c>
      <c r="D129">
        <v>394</v>
      </c>
      <c r="E129" t="s">
        <v>8</v>
      </c>
      <c r="F129">
        <v>0.38691787475790301</v>
      </c>
      <c r="G129">
        <f t="shared" si="10"/>
        <v>0.38691787475790301</v>
      </c>
      <c r="H129">
        <f t="shared" si="11"/>
        <v>2.1691187709000706E-3</v>
      </c>
      <c r="I129">
        <f t="shared" si="12"/>
        <v>178.37560577531326</v>
      </c>
      <c r="J129">
        <f t="shared" si="13"/>
        <v>461.01671029523771</v>
      </c>
    </row>
    <row r="130" spans="1:13" x14ac:dyDescent="0.25">
      <c r="A130" t="s">
        <v>22</v>
      </c>
      <c r="B130" t="s">
        <v>35</v>
      </c>
      <c r="C130" t="s">
        <v>36</v>
      </c>
      <c r="D130">
        <v>398</v>
      </c>
      <c r="E130" t="s">
        <v>8</v>
      </c>
      <c r="F130">
        <v>0.41131056711486202</v>
      </c>
      <c r="G130">
        <f t="shared" si="10"/>
        <v>0.41131056711486202</v>
      </c>
      <c r="H130">
        <f t="shared" si="11"/>
        <v>2.0980394378274005E-3</v>
      </c>
      <c r="I130">
        <f t="shared" si="12"/>
        <v>196.04520282077715</v>
      </c>
      <c r="J130">
        <f t="shared" si="13"/>
        <v>476.63546355236201</v>
      </c>
    </row>
    <row r="131" spans="1:13" x14ac:dyDescent="0.25">
      <c r="A131" t="s">
        <v>23</v>
      </c>
      <c r="B131" t="s">
        <v>35</v>
      </c>
      <c r="C131" t="s">
        <v>36</v>
      </c>
      <c r="D131">
        <v>1127</v>
      </c>
      <c r="E131" t="s">
        <v>8</v>
      </c>
      <c r="F131">
        <v>0.15773400487547701</v>
      </c>
      <c r="G131">
        <f t="shared" ref="G131:G194" si="20">AVERAGE(F131)</f>
        <v>0.15773400487547701</v>
      </c>
      <c r="H131">
        <f t="shared" ref="H131:H194" si="21">(1-G131^2)/(D131-2)</f>
        <v>8.6677331884972716E-4</v>
      </c>
      <c r="I131">
        <f t="shared" ref="I131:I194" si="22">G131/H131</f>
        <v>181.97838055836996</v>
      </c>
      <c r="J131">
        <f t="shared" ref="J131:J194" si="23">1/H131</f>
        <v>1153.7041787662254</v>
      </c>
    </row>
    <row r="132" spans="1:13" x14ac:dyDescent="0.25">
      <c r="A132" t="s">
        <v>24</v>
      </c>
      <c r="B132" t="s">
        <v>35</v>
      </c>
      <c r="C132" t="s">
        <v>36</v>
      </c>
      <c r="D132">
        <v>1137</v>
      </c>
      <c r="E132" t="s">
        <v>8</v>
      </c>
      <c r="F132">
        <v>0.39481286502844498</v>
      </c>
      <c r="G132">
        <f t="shared" si="20"/>
        <v>0.39481286502844498</v>
      </c>
      <c r="H132">
        <f t="shared" si="21"/>
        <v>7.4372053005112855E-4</v>
      </c>
      <c r="I132">
        <f t="shared" si="22"/>
        <v>530.86186151309118</v>
      </c>
      <c r="J132">
        <f t="shared" si="23"/>
        <v>1344.591092478317</v>
      </c>
    </row>
    <row r="133" spans="1:13" x14ac:dyDescent="0.25">
      <c r="A133" t="s">
        <v>25</v>
      </c>
      <c r="B133" t="s">
        <v>35</v>
      </c>
      <c r="C133" t="s">
        <v>36</v>
      </c>
      <c r="D133">
        <v>415</v>
      </c>
      <c r="E133" t="s">
        <v>8</v>
      </c>
      <c r="F133">
        <v>0.31858869008989499</v>
      </c>
      <c r="G133">
        <f t="shared" si="20"/>
        <v>0.31858869008989499</v>
      </c>
      <c r="H133">
        <f t="shared" si="21"/>
        <v>2.1755478124619973E-3</v>
      </c>
      <c r="I133">
        <f t="shared" si="22"/>
        <v>146.44067497158724</v>
      </c>
      <c r="J133">
        <f t="shared" si="23"/>
        <v>459.65434281507805</v>
      </c>
    </row>
    <row r="134" spans="1:13" x14ac:dyDescent="0.25">
      <c r="A134" t="s">
        <v>26</v>
      </c>
      <c r="B134" t="s">
        <v>35</v>
      </c>
      <c r="C134" t="s">
        <v>36</v>
      </c>
      <c r="D134">
        <v>397</v>
      </c>
      <c r="E134" t="s">
        <v>8</v>
      </c>
      <c r="F134">
        <v>0.51092883190539795</v>
      </c>
      <c r="G134">
        <f t="shared" si="20"/>
        <v>0.51092883190539795</v>
      </c>
      <c r="H134">
        <f t="shared" si="21"/>
        <v>1.8707638701969255E-3</v>
      </c>
      <c r="I134">
        <f t="shared" si="22"/>
        <v>273.11241148334511</v>
      </c>
      <c r="J134">
        <f t="shared" si="23"/>
        <v>534.54100537805198</v>
      </c>
    </row>
    <row r="135" spans="1:13" x14ac:dyDescent="0.25">
      <c r="A135" t="s">
        <v>6</v>
      </c>
      <c r="B135" t="s">
        <v>37</v>
      </c>
      <c r="C135" t="s">
        <v>38</v>
      </c>
      <c r="D135">
        <v>1142</v>
      </c>
      <c r="E135" t="s">
        <v>8</v>
      </c>
      <c r="F135">
        <v>0.33205601378008598</v>
      </c>
      <c r="G135">
        <f t="shared" si="20"/>
        <v>0.33205601378008598</v>
      </c>
      <c r="H135">
        <f t="shared" si="21"/>
        <v>7.8047263483550821E-4</v>
      </c>
      <c r="I135">
        <f t="shared" si="22"/>
        <v>425.45503706234342</v>
      </c>
      <c r="J135">
        <f t="shared" si="23"/>
        <v>1281.2749036495804</v>
      </c>
      <c r="K135">
        <f t="shared" ref="K135:L135" si="24">SUM(I135:I153)</f>
        <v>3449.5187306097814</v>
      </c>
      <c r="L135">
        <f t="shared" si="24"/>
        <v>11303.928417545534</v>
      </c>
      <c r="M135">
        <f t="shared" ref="M135" si="25">K135/L135</f>
        <v>0.30516105580211988</v>
      </c>
    </row>
    <row r="136" spans="1:13" x14ac:dyDescent="0.25">
      <c r="A136" t="s">
        <v>9</v>
      </c>
      <c r="B136" t="s">
        <v>37</v>
      </c>
      <c r="C136" t="s">
        <v>38</v>
      </c>
      <c r="D136">
        <v>1128</v>
      </c>
      <c r="E136" t="s">
        <v>8</v>
      </c>
      <c r="F136">
        <v>0.212345215032718</v>
      </c>
      <c r="G136">
        <f t="shared" si="20"/>
        <v>0.212345215032718</v>
      </c>
      <c r="H136">
        <f t="shared" si="21"/>
        <v>8.4805462668979456E-4</v>
      </c>
      <c r="I136">
        <f t="shared" si="22"/>
        <v>250.39096344720568</v>
      </c>
      <c r="J136">
        <f t="shared" si="23"/>
        <v>1179.1693229754464</v>
      </c>
    </row>
    <row r="137" spans="1:13" x14ac:dyDescent="0.25">
      <c r="A137" t="s">
        <v>10</v>
      </c>
      <c r="B137" t="s">
        <v>37</v>
      </c>
      <c r="C137" t="s">
        <v>38</v>
      </c>
      <c r="D137">
        <v>414</v>
      </c>
      <c r="E137" t="s">
        <v>8</v>
      </c>
      <c r="F137">
        <v>0.30043263001477699</v>
      </c>
      <c r="G137">
        <f t="shared" si="20"/>
        <v>0.30043263001477699</v>
      </c>
      <c r="H137">
        <f t="shared" si="21"/>
        <v>2.2081073660737967E-3</v>
      </c>
      <c r="I137">
        <f t="shared" si="22"/>
        <v>136.05888673292722</v>
      </c>
      <c r="J137">
        <f t="shared" si="23"/>
        <v>452.87652917805593</v>
      </c>
    </row>
    <row r="138" spans="1:13" x14ac:dyDescent="0.25">
      <c r="A138" t="s">
        <v>11</v>
      </c>
      <c r="B138" t="s">
        <v>37</v>
      </c>
      <c r="C138" t="s">
        <v>38</v>
      </c>
      <c r="D138">
        <v>395</v>
      </c>
      <c r="E138" t="s">
        <v>8</v>
      </c>
      <c r="F138">
        <v>0.39700502216948302</v>
      </c>
      <c r="G138">
        <f t="shared" si="20"/>
        <v>0.39700502216948302</v>
      </c>
      <c r="H138">
        <f t="shared" si="21"/>
        <v>2.1434784029827183E-3</v>
      </c>
      <c r="I138">
        <f t="shared" si="22"/>
        <v>185.21531246456132</v>
      </c>
      <c r="J138">
        <f t="shared" si="23"/>
        <v>466.5314092311209</v>
      </c>
    </row>
    <row r="139" spans="1:13" x14ac:dyDescent="0.25">
      <c r="A139" t="s">
        <v>12</v>
      </c>
      <c r="B139" t="s">
        <v>37</v>
      </c>
      <c r="C139" t="s">
        <v>38</v>
      </c>
      <c r="D139">
        <v>415</v>
      </c>
      <c r="E139" t="s">
        <v>8</v>
      </c>
      <c r="F139">
        <v>0.29890572145154898</v>
      </c>
      <c r="G139">
        <f t="shared" si="20"/>
        <v>0.29890572145154898</v>
      </c>
      <c r="H139">
        <f t="shared" si="21"/>
        <v>2.2049766820424429E-3</v>
      </c>
      <c r="I139">
        <f t="shared" si="22"/>
        <v>135.55958386583765</v>
      </c>
      <c r="J139">
        <f t="shared" si="23"/>
        <v>453.51953521509</v>
      </c>
    </row>
    <row r="140" spans="1:13" x14ac:dyDescent="0.25">
      <c r="A140" t="s">
        <v>13</v>
      </c>
      <c r="B140" t="s">
        <v>37</v>
      </c>
      <c r="C140" t="s">
        <v>38</v>
      </c>
      <c r="D140">
        <v>1006</v>
      </c>
      <c r="E140" t="s">
        <v>8</v>
      </c>
      <c r="F140">
        <v>0.46758853042797799</v>
      </c>
      <c r="G140">
        <f t="shared" si="20"/>
        <v>0.46758853042797799</v>
      </c>
      <c r="H140">
        <f t="shared" si="21"/>
        <v>7.7824797431494408E-4</v>
      </c>
      <c r="I140">
        <f t="shared" si="22"/>
        <v>600.82203341367472</v>
      </c>
      <c r="J140">
        <f t="shared" si="23"/>
        <v>1284.9374916526497</v>
      </c>
    </row>
    <row r="141" spans="1:13" x14ac:dyDescent="0.25">
      <c r="A141" t="s">
        <v>14</v>
      </c>
      <c r="B141" t="s">
        <v>37</v>
      </c>
      <c r="C141" t="s">
        <v>38</v>
      </c>
      <c r="D141">
        <v>246</v>
      </c>
      <c r="E141" t="s">
        <v>8</v>
      </c>
      <c r="F141">
        <v>0.34266119388315402</v>
      </c>
      <c r="G141">
        <f t="shared" si="20"/>
        <v>0.34266119388315402</v>
      </c>
      <c r="H141">
        <f t="shared" si="21"/>
        <v>3.6171446975679163E-3</v>
      </c>
      <c r="I141">
        <f t="shared" si="22"/>
        <v>94.732509350137803</v>
      </c>
      <c r="J141">
        <f t="shared" si="23"/>
        <v>276.46115475346528</v>
      </c>
    </row>
    <row r="142" spans="1:13" x14ac:dyDescent="0.25">
      <c r="A142" t="s">
        <v>15</v>
      </c>
      <c r="B142" t="s">
        <v>37</v>
      </c>
      <c r="C142" t="s">
        <v>38</v>
      </c>
      <c r="D142">
        <v>246</v>
      </c>
      <c r="E142" t="s">
        <v>8</v>
      </c>
      <c r="F142">
        <v>0.56944763676516696</v>
      </c>
      <c r="G142">
        <f t="shared" si="20"/>
        <v>0.56944763676516696</v>
      </c>
      <c r="H142">
        <f t="shared" si="21"/>
        <v>2.7693827417318295E-3</v>
      </c>
      <c r="I142">
        <f t="shared" si="22"/>
        <v>205.62258447854114</v>
      </c>
      <c r="J142">
        <f t="shared" si="23"/>
        <v>361.09129479685117</v>
      </c>
    </row>
    <row r="143" spans="1:13" x14ac:dyDescent="0.25">
      <c r="A143" t="s">
        <v>16</v>
      </c>
      <c r="B143" t="s">
        <v>37</v>
      </c>
      <c r="C143" t="s">
        <v>38</v>
      </c>
      <c r="D143">
        <v>246</v>
      </c>
      <c r="E143" t="s">
        <v>8</v>
      </c>
      <c r="F143">
        <v>0.104962562480826</v>
      </c>
      <c r="G143">
        <f t="shared" si="20"/>
        <v>0.104962562480826</v>
      </c>
      <c r="H143">
        <f t="shared" si="21"/>
        <v>4.0532084445797489E-3</v>
      </c>
      <c r="I143">
        <f t="shared" si="22"/>
        <v>25.896166929482675</v>
      </c>
      <c r="J143">
        <f t="shared" si="23"/>
        <v>246.71812803934972</v>
      </c>
    </row>
    <row r="144" spans="1:13" x14ac:dyDescent="0.25">
      <c r="A144" t="s">
        <v>17</v>
      </c>
      <c r="B144" t="s">
        <v>37</v>
      </c>
      <c r="C144" t="s">
        <v>38</v>
      </c>
      <c r="D144">
        <v>246</v>
      </c>
      <c r="E144" t="s">
        <v>8</v>
      </c>
      <c r="F144">
        <v>0.431582035115054</v>
      </c>
      <c r="G144">
        <f t="shared" si="20"/>
        <v>0.431582035115054</v>
      </c>
      <c r="H144">
        <f t="shared" si="21"/>
        <v>3.334987487565362E-3</v>
      </c>
      <c r="I144">
        <f t="shared" si="22"/>
        <v>129.41039111067894</v>
      </c>
      <c r="J144">
        <f t="shared" si="23"/>
        <v>299.85119996058188</v>
      </c>
    </row>
    <row r="145" spans="1:13" x14ac:dyDescent="0.25">
      <c r="A145" t="s">
        <v>18</v>
      </c>
      <c r="B145" t="s">
        <v>37</v>
      </c>
      <c r="C145" t="s">
        <v>38</v>
      </c>
      <c r="D145">
        <v>246</v>
      </c>
      <c r="E145" t="s">
        <v>8</v>
      </c>
      <c r="F145">
        <v>0.25465929560404599</v>
      </c>
      <c r="G145">
        <f t="shared" si="20"/>
        <v>0.25465929560404599</v>
      </c>
      <c r="H145">
        <f t="shared" si="21"/>
        <v>3.8325764064034884E-3</v>
      </c>
      <c r="I145">
        <f t="shared" si="22"/>
        <v>66.445980092806479</v>
      </c>
      <c r="J145">
        <f t="shared" si="23"/>
        <v>260.92108648615454</v>
      </c>
    </row>
    <row r="146" spans="1:13" x14ac:dyDescent="0.25">
      <c r="A146" t="s">
        <v>19</v>
      </c>
      <c r="B146" t="s">
        <v>37</v>
      </c>
      <c r="C146" t="s">
        <v>38</v>
      </c>
      <c r="D146">
        <v>266</v>
      </c>
      <c r="E146" t="s">
        <v>8</v>
      </c>
      <c r="F146">
        <v>3.3174700944337797E-2</v>
      </c>
      <c r="G146">
        <f t="shared" si="20"/>
        <v>3.3174700944337797E-2</v>
      </c>
      <c r="H146">
        <f t="shared" si="21"/>
        <v>3.7837099970350523E-3</v>
      </c>
      <c r="I146">
        <f t="shared" si="22"/>
        <v>8.767770513684658</v>
      </c>
      <c r="J146">
        <f t="shared" si="23"/>
        <v>264.29086816474006</v>
      </c>
    </row>
    <row r="147" spans="1:13" x14ac:dyDescent="0.25">
      <c r="A147" t="s">
        <v>20</v>
      </c>
      <c r="B147" t="s">
        <v>37</v>
      </c>
      <c r="C147" t="s">
        <v>38</v>
      </c>
      <c r="D147">
        <v>245</v>
      </c>
      <c r="E147" t="s">
        <v>8</v>
      </c>
      <c r="F147">
        <v>0.48790318725224302</v>
      </c>
      <c r="G147">
        <f t="shared" si="20"/>
        <v>0.48790318725224302</v>
      </c>
      <c r="H147">
        <f t="shared" si="21"/>
        <v>3.1355986825888998E-3</v>
      </c>
      <c r="I147">
        <f t="shared" si="22"/>
        <v>155.6012859558312</v>
      </c>
      <c r="J147">
        <f t="shared" si="23"/>
        <v>318.91836335839776</v>
      </c>
    </row>
    <row r="148" spans="1:13" x14ac:dyDescent="0.25">
      <c r="A148" t="s">
        <v>21</v>
      </c>
      <c r="B148" t="s">
        <v>37</v>
      </c>
      <c r="C148" t="s">
        <v>38</v>
      </c>
      <c r="D148">
        <v>394</v>
      </c>
      <c r="E148" t="s">
        <v>8</v>
      </c>
      <c r="F148">
        <v>0.46340661682814799</v>
      </c>
      <c r="G148">
        <f t="shared" si="20"/>
        <v>0.46340661682814799</v>
      </c>
      <c r="H148">
        <f t="shared" si="21"/>
        <v>2.003199763979311E-3</v>
      </c>
      <c r="I148">
        <f t="shared" si="22"/>
        <v>231.3332025896415</v>
      </c>
      <c r="J148">
        <f t="shared" si="23"/>
        <v>499.20133677208639</v>
      </c>
    </row>
    <row r="149" spans="1:13" x14ac:dyDescent="0.25">
      <c r="A149" t="s">
        <v>22</v>
      </c>
      <c r="B149" t="s">
        <v>37</v>
      </c>
      <c r="C149" t="s">
        <v>38</v>
      </c>
      <c r="D149">
        <v>398</v>
      </c>
      <c r="E149" t="s">
        <v>8</v>
      </c>
      <c r="F149">
        <v>0.31718584239662501</v>
      </c>
      <c r="G149">
        <f t="shared" si="20"/>
        <v>0.31718584239662501</v>
      </c>
      <c r="H149">
        <f t="shared" si="21"/>
        <v>2.2711948014725843E-3</v>
      </c>
      <c r="I149">
        <f t="shared" si="22"/>
        <v>139.65593888774748</v>
      </c>
      <c r="J149">
        <f t="shared" si="23"/>
        <v>440.29688662180178</v>
      </c>
    </row>
    <row r="150" spans="1:13" x14ac:dyDescent="0.25">
      <c r="A150" t="s">
        <v>23</v>
      </c>
      <c r="B150" t="s">
        <v>37</v>
      </c>
      <c r="C150" t="s">
        <v>38</v>
      </c>
      <c r="D150">
        <v>1127</v>
      </c>
      <c r="E150" t="s">
        <v>8</v>
      </c>
      <c r="F150">
        <v>0.15304738817563501</v>
      </c>
      <c r="G150">
        <f t="shared" si="20"/>
        <v>0.15304738817563501</v>
      </c>
      <c r="H150">
        <f t="shared" si="21"/>
        <v>8.6806799730899248E-4</v>
      </c>
      <c r="I150">
        <f t="shared" si="22"/>
        <v>176.30806417248573</v>
      </c>
      <c r="J150">
        <f t="shared" si="23"/>
        <v>1151.9834887359011</v>
      </c>
    </row>
    <row r="151" spans="1:13" x14ac:dyDescent="0.25">
      <c r="A151" t="s">
        <v>24</v>
      </c>
      <c r="B151" t="s">
        <v>37</v>
      </c>
      <c r="C151" t="s">
        <v>38</v>
      </c>
      <c r="D151">
        <v>1137</v>
      </c>
      <c r="E151" t="s">
        <v>8</v>
      </c>
      <c r="F151">
        <v>0.219399993816383</v>
      </c>
      <c r="G151">
        <f t="shared" si="20"/>
        <v>0.219399993816383</v>
      </c>
      <c r="H151">
        <f t="shared" si="21"/>
        <v>8.3864638124526091E-4</v>
      </c>
      <c r="I151">
        <f t="shared" si="22"/>
        <v>261.61204379205424</v>
      </c>
      <c r="J151">
        <f t="shared" si="23"/>
        <v>1192.3976807902679</v>
      </c>
    </row>
    <row r="152" spans="1:13" x14ac:dyDescent="0.25">
      <c r="A152" t="s">
        <v>25</v>
      </c>
      <c r="B152" t="s">
        <v>37</v>
      </c>
      <c r="C152" t="s">
        <v>38</v>
      </c>
      <c r="D152">
        <v>415</v>
      </c>
      <c r="E152" t="s">
        <v>8</v>
      </c>
      <c r="F152">
        <v>0.14316384619904701</v>
      </c>
      <c r="G152">
        <f t="shared" si="20"/>
        <v>0.14316384619904701</v>
      </c>
      <c r="H152">
        <f t="shared" si="21"/>
        <v>2.3716806613595536E-3</v>
      </c>
      <c r="I152">
        <f t="shared" si="22"/>
        <v>60.36387972948225</v>
      </c>
      <c r="J152">
        <f t="shared" si="23"/>
        <v>421.64192519356936</v>
      </c>
    </row>
    <row r="153" spans="1:13" x14ac:dyDescent="0.25">
      <c r="A153" t="s">
        <v>26</v>
      </c>
      <c r="B153" t="s">
        <v>37</v>
      </c>
      <c r="C153" t="s">
        <v>38</v>
      </c>
      <c r="D153">
        <v>397</v>
      </c>
      <c r="E153" t="s">
        <v>8</v>
      </c>
      <c r="F153">
        <v>0.35469421597991202</v>
      </c>
      <c r="G153">
        <f t="shared" si="20"/>
        <v>0.35469421597991202</v>
      </c>
      <c r="H153">
        <f t="shared" si="21"/>
        <v>2.2131443370896091E-3</v>
      </c>
      <c r="I153">
        <f t="shared" si="22"/>
        <v>160.26709602065625</v>
      </c>
      <c r="J153">
        <f t="shared" si="23"/>
        <v>451.84581197042394</v>
      </c>
    </row>
    <row r="154" spans="1:13" x14ac:dyDescent="0.25">
      <c r="A154" t="s">
        <v>6</v>
      </c>
      <c r="B154" t="s">
        <v>39</v>
      </c>
      <c r="C154" t="s">
        <v>40</v>
      </c>
      <c r="D154">
        <v>1142</v>
      </c>
      <c r="E154" t="s">
        <v>8</v>
      </c>
      <c r="F154">
        <v>0.59803948073720303</v>
      </c>
      <c r="G154">
        <f t="shared" si="20"/>
        <v>0.59803948073720303</v>
      </c>
      <c r="H154">
        <f t="shared" si="21"/>
        <v>5.6346384164875139E-4</v>
      </c>
      <c r="I154">
        <f t="shared" si="22"/>
        <v>1061.3626581384174</v>
      </c>
      <c r="J154">
        <f t="shared" si="23"/>
        <v>1774.7367729469565</v>
      </c>
      <c r="K154">
        <f t="shared" ref="K154:L154" si="26">SUM(I154:I172)</f>
        <v>4137.1048648151018</v>
      </c>
      <c r="L154">
        <f t="shared" si="26"/>
        <v>11986.343331851369</v>
      </c>
      <c r="M154">
        <f t="shared" ref="M154" si="27">K154/L154</f>
        <v>0.34515154040528379</v>
      </c>
    </row>
    <row r="155" spans="1:13" x14ac:dyDescent="0.25">
      <c r="A155" t="s">
        <v>9</v>
      </c>
      <c r="B155" t="s">
        <v>39</v>
      </c>
      <c r="C155" t="s">
        <v>40</v>
      </c>
      <c r="D155">
        <v>1128</v>
      </c>
      <c r="E155" t="s">
        <v>8</v>
      </c>
      <c r="F155">
        <v>0.45973162734193601</v>
      </c>
      <c r="G155">
        <f t="shared" si="20"/>
        <v>0.45973162734193601</v>
      </c>
      <c r="H155">
        <f t="shared" si="21"/>
        <v>7.0039683021450732E-4</v>
      </c>
      <c r="I155">
        <f t="shared" si="22"/>
        <v>656.38736143499693</v>
      </c>
      <c r="J155">
        <f t="shared" si="23"/>
        <v>1427.7620298391907</v>
      </c>
    </row>
    <row r="156" spans="1:13" x14ac:dyDescent="0.25">
      <c r="A156" t="s">
        <v>10</v>
      </c>
      <c r="B156" t="s">
        <v>39</v>
      </c>
      <c r="C156" t="s">
        <v>40</v>
      </c>
      <c r="D156">
        <v>414</v>
      </c>
      <c r="E156" t="s">
        <v>8</v>
      </c>
      <c r="F156">
        <v>0.23499278791530601</v>
      </c>
      <c r="G156">
        <f t="shared" si="20"/>
        <v>0.23499278791530601</v>
      </c>
      <c r="H156">
        <f t="shared" si="21"/>
        <v>2.2931514311354175E-3</v>
      </c>
      <c r="I156">
        <f t="shared" si="22"/>
        <v>102.47591359413759</v>
      </c>
      <c r="J156">
        <f t="shared" si="23"/>
        <v>436.08110062965437</v>
      </c>
    </row>
    <row r="157" spans="1:13" x14ac:dyDescent="0.25">
      <c r="A157" t="s">
        <v>11</v>
      </c>
      <c r="B157" t="s">
        <v>39</v>
      </c>
      <c r="C157" t="s">
        <v>40</v>
      </c>
      <c r="D157">
        <v>395</v>
      </c>
      <c r="E157" t="s">
        <v>8</v>
      </c>
      <c r="F157">
        <v>0.46725311146991599</v>
      </c>
      <c r="G157">
        <f t="shared" si="20"/>
        <v>0.46725311146991599</v>
      </c>
      <c r="H157">
        <f t="shared" si="21"/>
        <v>1.988993714558988E-3</v>
      </c>
      <c r="I157">
        <f t="shared" si="22"/>
        <v>234.91935044828347</v>
      </c>
      <c r="J157">
        <f t="shared" si="23"/>
        <v>502.76679744145201</v>
      </c>
    </row>
    <row r="158" spans="1:13" x14ac:dyDescent="0.25">
      <c r="A158" t="s">
        <v>12</v>
      </c>
      <c r="B158" t="s">
        <v>39</v>
      </c>
      <c r="C158" t="s">
        <v>40</v>
      </c>
      <c r="D158">
        <v>415</v>
      </c>
      <c r="E158" t="s">
        <v>8</v>
      </c>
      <c r="F158">
        <v>0.325477797809267</v>
      </c>
      <c r="G158">
        <f t="shared" si="20"/>
        <v>0.325477797809267</v>
      </c>
      <c r="H158">
        <f t="shared" si="21"/>
        <v>2.1648043659400237E-3</v>
      </c>
      <c r="I158">
        <f t="shared" si="22"/>
        <v>150.34975119700235</v>
      </c>
      <c r="J158">
        <f t="shared" si="23"/>
        <v>461.93550592077156</v>
      </c>
    </row>
    <row r="159" spans="1:13" x14ac:dyDescent="0.25">
      <c r="A159" t="s">
        <v>13</v>
      </c>
      <c r="B159" t="s">
        <v>39</v>
      </c>
      <c r="C159" t="s">
        <v>40</v>
      </c>
      <c r="D159">
        <v>1006</v>
      </c>
      <c r="E159" t="s">
        <v>8</v>
      </c>
      <c r="F159">
        <v>5.9137108815406098E-2</v>
      </c>
      <c r="G159">
        <f t="shared" si="20"/>
        <v>5.9137108815406098E-2</v>
      </c>
      <c r="H159">
        <f t="shared" si="21"/>
        <v>9.9253267167425784E-4</v>
      </c>
      <c r="I159">
        <f t="shared" si="22"/>
        <v>59.58202737613707</v>
      </c>
      <c r="J159">
        <f t="shared" si="23"/>
        <v>1007.5235088363851</v>
      </c>
    </row>
    <row r="160" spans="1:13" x14ac:dyDescent="0.25">
      <c r="A160" t="s">
        <v>14</v>
      </c>
      <c r="B160" t="s">
        <v>39</v>
      </c>
      <c r="C160" t="s">
        <v>40</v>
      </c>
      <c r="D160">
        <v>246</v>
      </c>
      <c r="E160" t="s">
        <v>8</v>
      </c>
      <c r="F160">
        <v>0.303098162918082</v>
      </c>
      <c r="G160">
        <f t="shared" si="20"/>
        <v>0.303098162918082</v>
      </c>
      <c r="H160">
        <f t="shared" si="21"/>
        <v>3.7218504247364093E-3</v>
      </c>
      <c r="I160">
        <f t="shared" si="22"/>
        <v>81.437491658345778</v>
      </c>
      <c r="J160">
        <f t="shared" si="23"/>
        <v>268.68355411430122</v>
      </c>
    </row>
    <row r="161" spans="1:13" x14ac:dyDescent="0.25">
      <c r="A161" t="s">
        <v>15</v>
      </c>
      <c r="B161" t="s">
        <v>39</v>
      </c>
      <c r="C161" t="s">
        <v>40</v>
      </c>
      <c r="D161">
        <v>246</v>
      </c>
      <c r="E161" t="s">
        <v>8</v>
      </c>
      <c r="F161">
        <v>0.47614760781406501</v>
      </c>
      <c r="G161">
        <f t="shared" si="20"/>
        <v>0.47614760781406501</v>
      </c>
      <c r="H161">
        <f t="shared" si="21"/>
        <v>3.1691944900530465E-3</v>
      </c>
      <c r="I161">
        <f t="shared" si="22"/>
        <v>150.2424699110515</v>
      </c>
      <c r="J161">
        <f t="shared" si="23"/>
        <v>315.53759264022381</v>
      </c>
    </row>
    <row r="162" spans="1:13" x14ac:dyDescent="0.25">
      <c r="A162" t="s">
        <v>16</v>
      </c>
      <c r="B162" t="s">
        <v>39</v>
      </c>
      <c r="C162" t="s">
        <v>40</v>
      </c>
      <c r="D162">
        <v>246</v>
      </c>
      <c r="E162" t="s">
        <v>8</v>
      </c>
      <c r="F162">
        <v>8.9257683627625595E-2</v>
      </c>
      <c r="G162">
        <f t="shared" si="20"/>
        <v>8.9257683627625595E-2</v>
      </c>
      <c r="H162">
        <f t="shared" si="21"/>
        <v>4.0657092865304537E-3</v>
      </c>
      <c r="I162">
        <f t="shared" si="22"/>
        <v>21.953779116311399</v>
      </c>
      <c r="J162">
        <f t="shared" si="23"/>
        <v>245.9595434707945</v>
      </c>
    </row>
    <row r="163" spans="1:13" x14ac:dyDescent="0.25">
      <c r="A163" t="s">
        <v>17</v>
      </c>
      <c r="B163" t="s">
        <v>39</v>
      </c>
      <c r="C163" t="s">
        <v>40</v>
      </c>
      <c r="D163">
        <v>246</v>
      </c>
      <c r="E163" t="s">
        <v>8</v>
      </c>
      <c r="F163">
        <v>0.33140104113508301</v>
      </c>
      <c r="G163">
        <f t="shared" si="20"/>
        <v>0.33140104113508301</v>
      </c>
      <c r="H163">
        <f t="shared" si="21"/>
        <v>3.6482514341581269E-3</v>
      </c>
      <c r="I163">
        <f t="shared" si="22"/>
        <v>90.838322718718359</v>
      </c>
      <c r="J163">
        <f t="shared" si="23"/>
        <v>274.10391472394792</v>
      </c>
    </row>
    <row r="164" spans="1:13" x14ac:dyDescent="0.25">
      <c r="A164" t="s">
        <v>18</v>
      </c>
      <c r="B164" t="s">
        <v>39</v>
      </c>
      <c r="C164" t="s">
        <v>40</v>
      </c>
      <c r="D164">
        <v>246</v>
      </c>
      <c r="E164" t="s">
        <v>8</v>
      </c>
      <c r="F164">
        <v>0.33637700811522803</v>
      </c>
      <c r="G164">
        <f t="shared" si="20"/>
        <v>0.33637700811522803</v>
      </c>
      <c r="H164">
        <f t="shared" si="21"/>
        <v>3.6346332311944585E-3</v>
      </c>
      <c r="I164">
        <f t="shared" si="22"/>
        <v>92.547717119915177</v>
      </c>
      <c r="J164">
        <f t="shared" si="23"/>
        <v>275.13092419269151</v>
      </c>
    </row>
    <row r="165" spans="1:13" x14ac:dyDescent="0.25">
      <c r="A165" t="s">
        <v>19</v>
      </c>
      <c r="B165" t="s">
        <v>39</v>
      </c>
      <c r="C165" t="s">
        <v>40</v>
      </c>
      <c r="D165">
        <v>266</v>
      </c>
      <c r="E165" t="s">
        <v>8</v>
      </c>
      <c r="F165">
        <v>-0.16980157964652601</v>
      </c>
      <c r="G165">
        <f t="shared" si="20"/>
        <v>-0.16980157964652601</v>
      </c>
      <c r="H165">
        <f t="shared" si="21"/>
        <v>3.6786644831422136E-3</v>
      </c>
      <c r="I165">
        <f t="shared" si="22"/>
        <v>-46.158485076487921</v>
      </c>
      <c r="J165">
        <f t="shared" si="23"/>
        <v>271.83778368007825</v>
      </c>
    </row>
    <row r="166" spans="1:13" x14ac:dyDescent="0.25">
      <c r="A166" t="s">
        <v>20</v>
      </c>
      <c r="B166" t="s">
        <v>39</v>
      </c>
      <c r="C166" t="s">
        <v>40</v>
      </c>
      <c r="D166">
        <v>245</v>
      </c>
      <c r="E166" t="s">
        <v>8</v>
      </c>
      <c r="F166">
        <v>0.352167465031544</v>
      </c>
      <c r="G166">
        <f t="shared" si="20"/>
        <v>0.352167465031544</v>
      </c>
      <c r="H166">
        <f t="shared" si="21"/>
        <v>3.6048480517417952E-3</v>
      </c>
      <c r="I166">
        <f t="shared" si="22"/>
        <v>97.692734888335522</v>
      </c>
      <c r="J166">
        <f t="shared" si="23"/>
        <v>277.40420279762378</v>
      </c>
    </row>
    <row r="167" spans="1:13" x14ac:dyDescent="0.25">
      <c r="A167" t="s">
        <v>21</v>
      </c>
      <c r="B167" t="s">
        <v>39</v>
      </c>
      <c r="C167" t="s">
        <v>40</v>
      </c>
      <c r="D167">
        <v>394</v>
      </c>
      <c r="E167" t="s">
        <v>8</v>
      </c>
      <c r="F167">
        <v>0.36569064106690302</v>
      </c>
      <c r="G167">
        <f t="shared" si="20"/>
        <v>0.36569064106690302</v>
      </c>
      <c r="H167">
        <f t="shared" si="21"/>
        <v>2.209873354683871E-3</v>
      </c>
      <c r="I167">
        <f t="shared" si="22"/>
        <v>165.4803612577229</v>
      </c>
      <c r="J167">
        <f t="shared" si="23"/>
        <v>452.51461939231945</v>
      </c>
    </row>
    <row r="168" spans="1:13" x14ac:dyDescent="0.25">
      <c r="A168" t="s">
        <v>22</v>
      </c>
      <c r="B168" t="s">
        <v>39</v>
      </c>
      <c r="C168" t="s">
        <v>40</v>
      </c>
      <c r="D168">
        <v>398</v>
      </c>
      <c r="E168" t="s">
        <v>8</v>
      </c>
      <c r="F168">
        <v>0.41461931836801402</v>
      </c>
      <c r="G168">
        <f t="shared" si="20"/>
        <v>0.41461931836801402</v>
      </c>
      <c r="H168">
        <f t="shared" si="21"/>
        <v>2.0911384364546552E-3</v>
      </c>
      <c r="I168">
        <f t="shared" si="22"/>
        <v>198.27444761187849</v>
      </c>
      <c r="J168">
        <f t="shared" si="23"/>
        <v>478.20841631863158</v>
      </c>
    </row>
    <row r="169" spans="1:13" x14ac:dyDescent="0.25">
      <c r="A169" t="s">
        <v>23</v>
      </c>
      <c r="B169" t="s">
        <v>39</v>
      </c>
      <c r="C169" t="s">
        <v>40</v>
      </c>
      <c r="D169">
        <v>1127</v>
      </c>
      <c r="E169" t="s">
        <v>8</v>
      </c>
      <c r="F169">
        <v>5.0163263817175098E-3</v>
      </c>
      <c r="G169">
        <f t="shared" si="20"/>
        <v>5.0163263817175098E-3</v>
      </c>
      <c r="H169">
        <f t="shared" si="21"/>
        <v>8.8886652130633955E-4</v>
      </c>
      <c r="I169">
        <f t="shared" si="22"/>
        <v>5.6435091900470846</v>
      </c>
      <c r="J169">
        <f t="shared" si="23"/>
        <v>1125.0283096840355</v>
      </c>
    </row>
    <row r="170" spans="1:13" x14ac:dyDescent="0.25">
      <c r="A170" t="s">
        <v>24</v>
      </c>
      <c r="B170" t="s">
        <v>39</v>
      </c>
      <c r="C170" t="s">
        <v>40</v>
      </c>
      <c r="D170">
        <v>1137</v>
      </c>
      <c r="E170" t="s">
        <v>8</v>
      </c>
      <c r="F170">
        <v>0.43921875186371201</v>
      </c>
      <c r="G170">
        <f t="shared" si="20"/>
        <v>0.43921875186371201</v>
      </c>
      <c r="H170">
        <f t="shared" si="21"/>
        <v>7.1108976917293653E-4</v>
      </c>
      <c r="I170">
        <f t="shared" si="22"/>
        <v>617.66990737971696</v>
      </c>
      <c r="J170">
        <f t="shared" si="23"/>
        <v>1406.292205783094</v>
      </c>
    </row>
    <row r="171" spans="1:13" x14ac:dyDescent="0.25">
      <c r="A171" t="s">
        <v>25</v>
      </c>
      <c r="B171" t="s">
        <v>39</v>
      </c>
      <c r="C171" t="s">
        <v>40</v>
      </c>
      <c r="D171">
        <v>415</v>
      </c>
      <c r="E171" t="s">
        <v>8</v>
      </c>
      <c r="F171">
        <v>0.25568036401553501</v>
      </c>
      <c r="G171">
        <f t="shared" si="20"/>
        <v>0.25568036401553501</v>
      </c>
      <c r="H171">
        <f t="shared" si="21"/>
        <v>2.2630207057067397E-3</v>
      </c>
      <c r="I171">
        <f t="shared" si="22"/>
        <v>112.98189334758483</v>
      </c>
      <c r="J171">
        <f t="shared" si="23"/>
        <v>441.88725161827483</v>
      </c>
    </row>
    <row r="172" spans="1:13" x14ac:dyDescent="0.25">
      <c r="A172" t="s">
        <v>26</v>
      </c>
      <c r="B172" t="s">
        <v>39</v>
      </c>
      <c r="C172" t="s">
        <v>40</v>
      </c>
      <c r="D172">
        <v>397</v>
      </c>
      <c r="E172" t="s">
        <v>8</v>
      </c>
      <c r="F172">
        <v>0.52200758826003302</v>
      </c>
      <c r="G172">
        <f t="shared" si="20"/>
        <v>0.52200758826003302</v>
      </c>
      <c r="H172">
        <f t="shared" si="21"/>
        <v>1.8417926020226425E-3</v>
      </c>
      <c r="I172">
        <f t="shared" si="22"/>
        <v>283.42365350298849</v>
      </c>
      <c r="J172">
        <f t="shared" si="23"/>
        <v>542.94929782094232</v>
      </c>
    </row>
    <row r="173" spans="1:13" x14ac:dyDescent="0.25">
      <c r="A173" t="s">
        <v>6</v>
      </c>
      <c r="B173" t="s">
        <v>41</v>
      </c>
      <c r="C173" t="s">
        <v>42</v>
      </c>
      <c r="D173">
        <v>1142</v>
      </c>
      <c r="E173" t="s">
        <v>8</v>
      </c>
      <c r="F173">
        <v>0.352754725525594</v>
      </c>
      <c r="G173">
        <f t="shared" si="20"/>
        <v>0.352754725525594</v>
      </c>
      <c r="H173">
        <f t="shared" si="21"/>
        <v>7.6803868738540605E-4</v>
      </c>
      <c r="I173">
        <f t="shared" si="22"/>
        <v>459.29291234854128</v>
      </c>
      <c r="J173">
        <f t="shared" si="23"/>
        <v>1302.0177452313603</v>
      </c>
      <c r="K173">
        <f t="shared" ref="K173:L173" si="28">SUM(I173:I191)</f>
        <v>3858.6705838977578</v>
      </c>
      <c r="L173">
        <f t="shared" si="28"/>
        <v>11614.765464806898</v>
      </c>
      <c r="M173">
        <f t="shared" ref="M173" si="29">K173/L173</f>
        <v>0.33222113658598185</v>
      </c>
    </row>
    <row r="174" spans="1:13" x14ac:dyDescent="0.25">
      <c r="A174" t="s">
        <v>9</v>
      </c>
      <c r="B174" t="s">
        <v>41</v>
      </c>
      <c r="C174" t="s">
        <v>42</v>
      </c>
      <c r="D174">
        <v>1128</v>
      </c>
      <c r="E174" t="s">
        <v>8</v>
      </c>
      <c r="F174">
        <v>0.23293038813618899</v>
      </c>
      <c r="G174">
        <f t="shared" si="20"/>
        <v>0.23293038813618899</v>
      </c>
      <c r="H174">
        <f t="shared" si="21"/>
        <v>8.399142400379435E-4</v>
      </c>
      <c r="I174">
        <f t="shared" si="22"/>
        <v>277.32639480629149</v>
      </c>
      <c r="J174">
        <f t="shared" si="23"/>
        <v>1190.5977447826394</v>
      </c>
    </row>
    <row r="175" spans="1:13" x14ac:dyDescent="0.25">
      <c r="A175" t="s">
        <v>10</v>
      </c>
      <c r="B175" t="s">
        <v>41</v>
      </c>
      <c r="C175" t="s">
        <v>42</v>
      </c>
      <c r="D175">
        <v>414</v>
      </c>
      <c r="E175" t="s">
        <v>8</v>
      </c>
      <c r="F175">
        <v>0.253515034145883</v>
      </c>
      <c r="G175">
        <f t="shared" si="20"/>
        <v>0.253515034145883</v>
      </c>
      <c r="H175">
        <f t="shared" si="21"/>
        <v>2.2711896297621646E-3</v>
      </c>
      <c r="I175">
        <f t="shared" si="22"/>
        <v>111.62213441967445</v>
      </c>
      <c r="J175">
        <f t="shared" si="23"/>
        <v>440.29788921884011</v>
      </c>
    </row>
    <row r="176" spans="1:13" x14ac:dyDescent="0.25">
      <c r="A176" t="s">
        <v>11</v>
      </c>
      <c r="B176" t="s">
        <v>41</v>
      </c>
      <c r="C176" t="s">
        <v>42</v>
      </c>
      <c r="D176">
        <v>395</v>
      </c>
      <c r="E176" t="s">
        <v>8</v>
      </c>
      <c r="F176">
        <v>0.46413208520946397</v>
      </c>
      <c r="G176">
        <f t="shared" si="20"/>
        <v>0.46413208520946397</v>
      </c>
      <c r="H176">
        <f t="shared" si="21"/>
        <v>1.9963903498196305E-3</v>
      </c>
      <c r="I176">
        <f t="shared" si="22"/>
        <v>232.48563851823732</v>
      </c>
      <c r="J176">
        <f t="shared" si="23"/>
        <v>500.90404418672318</v>
      </c>
    </row>
    <row r="177" spans="1:13" x14ac:dyDescent="0.25">
      <c r="A177" t="s">
        <v>12</v>
      </c>
      <c r="B177" t="s">
        <v>41</v>
      </c>
      <c r="C177" t="s">
        <v>42</v>
      </c>
      <c r="D177">
        <v>415</v>
      </c>
      <c r="E177" t="s">
        <v>8</v>
      </c>
      <c r="F177">
        <v>0.30274895122406897</v>
      </c>
      <c r="G177">
        <f t="shared" si="20"/>
        <v>0.30274895122406897</v>
      </c>
      <c r="H177">
        <f t="shared" si="21"/>
        <v>2.199377899594979E-3</v>
      </c>
      <c r="I177">
        <f t="shared" si="22"/>
        <v>137.65208392783293</v>
      </c>
      <c r="J177">
        <f t="shared" si="23"/>
        <v>454.67402404295893</v>
      </c>
    </row>
    <row r="178" spans="1:13" x14ac:dyDescent="0.25">
      <c r="A178" t="s">
        <v>13</v>
      </c>
      <c r="B178" t="s">
        <v>41</v>
      </c>
      <c r="C178" t="s">
        <v>42</v>
      </c>
      <c r="D178">
        <v>1006</v>
      </c>
      <c r="E178" t="s">
        <v>8</v>
      </c>
      <c r="F178">
        <v>0.48290400775369002</v>
      </c>
      <c r="G178">
        <f t="shared" si="20"/>
        <v>0.48290400775369002</v>
      </c>
      <c r="H178">
        <f t="shared" si="21"/>
        <v>7.6374872439783281E-4</v>
      </c>
      <c r="I178">
        <f t="shared" si="22"/>
        <v>632.28126257681026</v>
      </c>
      <c r="J178">
        <f t="shared" si="23"/>
        <v>1309.3311557259049</v>
      </c>
    </row>
    <row r="179" spans="1:13" x14ac:dyDescent="0.25">
      <c r="A179" t="s">
        <v>14</v>
      </c>
      <c r="B179" t="s">
        <v>41</v>
      </c>
      <c r="C179" t="s">
        <v>42</v>
      </c>
      <c r="D179">
        <v>246</v>
      </c>
      <c r="E179" t="s">
        <v>8</v>
      </c>
      <c r="F179">
        <v>0.35354723804973198</v>
      </c>
      <c r="G179">
        <f t="shared" si="20"/>
        <v>0.35354723804973198</v>
      </c>
      <c r="H179">
        <f t="shared" si="21"/>
        <v>3.5860834035549428E-3</v>
      </c>
      <c r="I179">
        <f t="shared" si="22"/>
        <v>98.588682488325517</v>
      </c>
      <c r="J179">
        <f t="shared" si="23"/>
        <v>278.85575639670947</v>
      </c>
    </row>
    <row r="180" spans="1:13" x14ac:dyDescent="0.25">
      <c r="A180" t="s">
        <v>15</v>
      </c>
      <c r="B180" t="s">
        <v>41</v>
      </c>
      <c r="C180" t="s">
        <v>42</v>
      </c>
      <c r="D180">
        <v>246</v>
      </c>
      <c r="E180" t="s">
        <v>8</v>
      </c>
      <c r="F180">
        <v>0.65849623066774998</v>
      </c>
      <c r="G180">
        <f t="shared" si="20"/>
        <v>0.65849623066774998</v>
      </c>
      <c r="H180">
        <f t="shared" si="21"/>
        <v>2.3212406319523173E-3</v>
      </c>
      <c r="I180">
        <f t="shared" si="22"/>
        <v>283.68288130210397</v>
      </c>
      <c r="J180">
        <f t="shared" si="23"/>
        <v>430.80410804240216</v>
      </c>
    </row>
    <row r="181" spans="1:13" x14ac:dyDescent="0.25">
      <c r="A181" t="s">
        <v>16</v>
      </c>
      <c r="B181" t="s">
        <v>41</v>
      </c>
      <c r="C181" t="s">
        <v>42</v>
      </c>
      <c r="D181">
        <v>246</v>
      </c>
      <c r="E181" t="s">
        <v>8</v>
      </c>
      <c r="F181">
        <v>0.11739863403936</v>
      </c>
      <c r="G181">
        <f t="shared" si="20"/>
        <v>0.11739863403936</v>
      </c>
      <c r="H181">
        <f t="shared" si="21"/>
        <v>4.0418752488757884E-3</v>
      </c>
      <c r="I181">
        <f t="shared" si="22"/>
        <v>29.045585727073934</v>
      </c>
      <c r="J181">
        <f t="shared" si="23"/>
        <v>247.40991208923163</v>
      </c>
    </row>
    <row r="182" spans="1:13" x14ac:dyDescent="0.25">
      <c r="A182" t="s">
        <v>17</v>
      </c>
      <c r="B182" t="s">
        <v>41</v>
      </c>
      <c r="C182" t="s">
        <v>42</v>
      </c>
      <c r="D182">
        <v>246</v>
      </c>
      <c r="E182" t="s">
        <v>8</v>
      </c>
      <c r="F182">
        <v>0.53162133293764702</v>
      </c>
      <c r="G182">
        <f t="shared" si="20"/>
        <v>0.53162133293764702</v>
      </c>
      <c r="H182">
        <f t="shared" si="21"/>
        <v>2.9400768785475388E-3</v>
      </c>
      <c r="I182">
        <f t="shared" si="22"/>
        <v>180.81885436964473</v>
      </c>
      <c r="J182">
        <f t="shared" si="23"/>
        <v>340.12716038024882</v>
      </c>
    </row>
    <row r="183" spans="1:13" x14ac:dyDescent="0.25">
      <c r="A183" t="s">
        <v>18</v>
      </c>
      <c r="B183" t="s">
        <v>41</v>
      </c>
      <c r="C183" t="s">
        <v>42</v>
      </c>
      <c r="D183">
        <v>246</v>
      </c>
      <c r="E183" t="s">
        <v>8</v>
      </c>
      <c r="F183">
        <v>0.19767850628835201</v>
      </c>
      <c r="G183">
        <f t="shared" si="20"/>
        <v>0.19767850628835201</v>
      </c>
      <c r="H183">
        <f t="shared" si="21"/>
        <v>3.9382098694737949E-3</v>
      </c>
      <c r="I183">
        <f t="shared" si="22"/>
        <v>50.195015715291191</v>
      </c>
      <c r="J183">
        <f t="shared" si="23"/>
        <v>253.92247572971914</v>
      </c>
    </row>
    <row r="184" spans="1:13" x14ac:dyDescent="0.25">
      <c r="A184" t="s">
        <v>19</v>
      </c>
      <c r="B184" t="s">
        <v>41</v>
      </c>
      <c r="C184" t="s">
        <v>42</v>
      </c>
      <c r="D184">
        <v>266</v>
      </c>
      <c r="E184" t="s">
        <v>8</v>
      </c>
      <c r="F184">
        <v>8.5440652481530197E-2</v>
      </c>
      <c r="G184">
        <f t="shared" si="20"/>
        <v>8.5440652481530197E-2</v>
      </c>
      <c r="H184">
        <f t="shared" si="21"/>
        <v>3.760226874634585E-3</v>
      </c>
      <c r="I184">
        <f t="shared" si="22"/>
        <v>22.722206752440499</v>
      </c>
      <c r="J184">
        <f t="shared" si="23"/>
        <v>265.94140017074875</v>
      </c>
    </row>
    <row r="185" spans="1:13" x14ac:dyDescent="0.25">
      <c r="A185" t="s">
        <v>20</v>
      </c>
      <c r="B185" t="s">
        <v>41</v>
      </c>
      <c r="C185" t="s">
        <v>42</v>
      </c>
      <c r="D185">
        <v>245</v>
      </c>
      <c r="E185" t="s">
        <v>8</v>
      </c>
      <c r="F185">
        <v>0.521314503538578</v>
      </c>
      <c r="G185">
        <f t="shared" si="20"/>
        <v>0.521314503538578</v>
      </c>
      <c r="H185">
        <f t="shared" si="21"/>
        <v>2.9968361662564853E-3</v>
      </c>
      <c r="I185">
        <f t="shared" si="22"/>
        <v>173.95495603277539</v>
      </c>
      <c r="J185">
        <f t="shared" si="23"/>
        <v>333.68524154230147</v>
      </c>
    </row>
    <row r="186" spans="1:13" x14ac:dyDescent="0.25">
      <c r="A186" t="s">
        <v>21</v>
      </c>
      <c r="B186" t="s">
        <v>41</v>
      </c>
      <c r="C186" t="s">
        <v>42</v>
      </c>
      <c r="D186">
        <v>394</v>
      </c>
      <c r="E186" t="s">
        <v>8</v>
      </c>
      <c r="F186">
        <v>0.56143400998582904</v>
      </c>
      <c r="G186">
        <f t="shared" si="20"/>
        <v>0.56143400998582904</v>
      </c>
      <c r="H186">
        <f t="shared" si="21"/>
        <v>1.746917990896E-3</v>
      </c>
      <c r="I186">
        <f t="shared" si="22"/>
        <v>321.38544162446209</v>
      </c>
      <c r="J186">
        <f t="shared" si="23"/>
        <v>572.43671724228841</v>
      </c>
    </row>
    <row r="187" spans="1:13" x14ac:dyDescent="0.25">
      <c r="A187" t="s">
        <v>22</v>
      </c>
      <c r="B187" t="s">
        <v>41</v>
      </c>
      <c r="C187" t="s">
        <v>42</v>
      </c>
      <c r="D187">
        <v>398</v>
      </c>
      <c r="E187" t="s">
        <v>8</v>
      </c>
      <c r="F187">
        <v>0.32146108595619299</v>
      </c>
      <c r="G187">
        <f t="shared" si="20"/>
        <v>0.32146108595619299</v>
      </c>
      <c r="H187">
        <f t="shared" si="21"/>
        <v>2.2642999247875382E-3</v>
      </c>
      <c r="I187">
        <f t="shared" si="22"/>
        <v>141.96930470081435</v>
      </c>
      <c r="J187">
        <f t="shared" si="23"/>
        <v>441.6376068615694</v>
      </c>
    </row>
    <row r="188" spans="1:13" x14ac:dyDescent="0.25">
      <c r="A188" t="s">
        <v>23</v>
      </c>
      <c r="B188" t="s">
        <v>41</v>
      </c>
      <c r="C188" t="s">
        <v>42</v>
      </c>
      <c r="D188">
        <v>1127</v>
      </c>
      <c r="E188" t="s">
        <v>8</v>
      </c>
      <c r="F188">
        <v>0.12944706569834299</v>
      </c>
      <c r="G188">
        <f t="shared" si="20"/>
        <v>0.12944706569834299</v>
      </c>
      <c r="H188">
        <f t="shared" si="21"/>
        <v>8.7399418416185678E-4</v>
      </c>
      <c r="I188">
        <f t="shared" si="22"/>
        <v>148.10975638525579</v>
      </c>
      <c r="J188">
        <f t="shared" si="23"/>
        <v>1144.1723733653678</v>
      </c>
    </row>
    <row r="189" spans="1:13" x14ac:dyDescent="0.25">
      <c r="A189" t="s">
        <v>24</v>
      </c>
      <c r="B189" t="s">
        <v>41</v>
      </c>
      <c r="C189" t="s">
        <v>42</v>
      </c>
      <c r="D189">
        <v>1137</v>
      </c>
      <c r="E189" t="s">
        <v>8</v>
      </c>
      <c r="F189">
        <v>0.21844233136750801</v>
      </c>
      <c r="G189">
        <f t="shared" si="20"/>
        <v>0.21844233136750801</v>
      </c>
      <c r="H189">
        <f t="shared" si="21"/>
        <v>8.3901581309843865E-4</v>
      </c>
      <c r="I189">
        <f t="shared" si="22"/>
        <v>260.35544021609394</v>
      </c>
      <c r="J189">
        <f t="shared" si="23"/>
        <v>1191.8726493450174</v>
      </c>
    </row>
    <row r="190" spans="1:13" x14ac:dyDescent="0.25">
      <c r="A190" t="s">
        <v>25</v>
      </c>
      <c r="B190" t="s">
        <v>41</v>
      </c>
      <c r="C190" t="s">
        <v>42</v>
      </c>
      <c r="D190">
        <v>415</v>
      </c>
      <c r="E190" t="s">
        <v>8</v>
      </c>
      <c r="F190">
        <v>0.204686203977545</v>
      </c>
      <c r="G190">
        <f t="shared" si="20"/>
        <v>0.204686203977545</v>
      </c>
      <c r="H190">
        <f t="shared" si="21"/>
        <v>2.3198633363226704E-3</v>
      </c>
      <c r="I190">
        <f t="shared" si="22"/>
        <v>88.232009520872552</v>
      </c>
      <c r="J190">
        <f t="shared" si="23"/>
        <v>431.05987509813798</v>
      </c>
    </row>
    <row r="191" spans="1:13" x14ac:dyDescent="0.25">
      <c r="A191" t="s">
        <v>26</v>
      </c>
      <c r="B191" t="s">
        <v>41</v>
      </c>
      <c r="C191" t="s">
        <v>42</v>
      </c>
      <c r="D191">
        <v>397</v>
      </c>
      <c r="E191" t="s">
        <v>8</v>
      </c>
      <c r="F191">
        <v>0.43080916810963699</v>
      </c>
      <c r="G191">
        <f t="shared" si="20"/>
        <v>0.43080916810963699</v>
      </c>
      <c r="H191">
        <f t="shared" si="21"/>
        <v>2.0617809130953988E-3</v>
      </c>
      <c r="I191">
        <f t="shared" si="22"/>
        <v>208.95002246521594</v>
      </c>
      <c r="J191">
        <f t="shared" si="23"/>
        <v>485.01758535472965</v>
      </c>
    </row>
    <row r="192" spans="1:13" x14ac:dyDescent="0.25">
      <c r="A192" t="s">
        <v>6</v>
      </c>
      <c r="B192" t="s">
        <v>43</v>
      </c>
      <c r="C192" t="s">
        <v>44</v>
      </c>
      <c r="D192">
        <v>1142</v>
      </c>
      <c r="E192" t="s">
        <v>8</v>
      </c>
      <c r="F192">
        <v>0.64202954871903495</v>
      </c>
      <c r="G192">
        <f t="shared" si="20"/>
        <v>0.64202954871903495</v>
      </c>
      <c r="H192">
        <f t="shared" si="21"/>
        <v>5.1561233208037918E-4</v>
      </c>
      <c r="I192">
        <f t="shared" si="22"/>
        <v>1245.1788073582159</v>
      </c>
      <c r="J192">
        <f t="shared" si="23"/>
        <v>1939.4415877627016</v>
      </c>
      <c r="K192">
        <f t="shared" ref="K192:L192" si="30">SUM(I192:I210)</f>
        <v>5198.8162980145789</v>
      </c>
      <c r="L192">
        <f t="shared" si="30"/>
        <v>12527.712930235353</v>
      </c>
      <c r="M192">
        <f t="shared" ref="M192" si="31">K192/L192</f>
        <v>0.414985267220432</v>
      </c>
    </row>
    <row r="193" spans="1:10" x14ac:dyDescent="0.25">
      <c r="A193" t="s">
        <v>9</v>
      </c>
      <c r="B193" t="s">
        <v>43</v>
      </c>
      <c r="C193" t="s">
        <v>44</v>
      </c>
      <c r="D193">
        <v>1128</v>
      </c>
      <c r="E193" t="s">
        <v>8</v>
      </c>
      <c r="F193">
        <v>0.43890653373900301</v>
      </c>
      <c r="G193">
        <f t="shared" si="20"/>
        <v>0.43890653373900301</v>
      </c>
      <c r="H193">
        <f t="shared" si="21"/>
        <v>7.1701692241670824E-4</v>
      </c>
      <c r="I193">
        <f t="shared" si="22"/>
        <v>612.12855654740599</v>
      </c>
      <c r="J193">
        <f t="shared" si="23"/>
        <v>1394.6672229568812</v>
      </c>
    </row>
    <row r="194" spans="1:10" x14ac:dyDescent="0.25">
      <c r="A194" t="s">
        <v>10</v>
      </c>
      <c r="B194" t="s">
        <v>43</v>
      </c>
      <c r="C194" t="s">
        <v>44</v>
      </c>
      <c r="D194">
        <v>414</v>
      </c>
      <c r="E194" t="s">
        <v>8</v>
      </c>
      <c r="F194">
        <v>0.37986235744883001</v>
      </c>
      <c r="G194">
        <f t="shared" si="20"/>
        <v>0.37986235744883001</v>
      </c>
      <c r="H194">
        <f t="shared" si="21"/>
        <v>2.0769528868772266E-3</v>
      </c>
      <c r="I194">
        <f t="shared" si="22"/>
        <v>182.89406555579927</v>
      </c>
      <c r="J194">
        <f t="shared" si="23"/>
        <v>481.47457090542673</v>
      </c>
    </row>
    <row r="195" spans="1:10" x14ac:dyDescent="0.25">
      <c r="A195" t="s">
        <v>11</v>
      </c>
      <c r="B195" t="s">
        <v>43</v>
      </c>
      <c r="C195" t="s">
        <v>44</v>
      </c>
      <c r="D195">
        <v>395</v>
      </c>
      <c r="E195" t="s">
        <v>8</v>
      </c>
      <c r="F195">
        <v>0.46635558096422602</v>
      </c>
      <c r="G195">
        <f t="shared" ref="G195:G258" si="32">AVERAGE(F195)</f>
        <v>0.46635558096422602</v>
      </c>
      <c r="H195">
        <f t="shared" ref="H195:H258" si="33">(1-G195^2)/(D195-2)</f>
        <v>1.9911258832150617E-3</v>
      </c>
      <c r="I195">
        <f t="shared" ref="I195:I258" si="34">G195/H195</f>
        <v>234.21702509898765</v>
      </c>
      <c r="J195">
        <f t="shared" ref="J195:J258" si="35">1/H195</f>
        <v>502.22841681175106</v>
      </c>
    </row>
    <row r="196" spans="1:10" x14ac:dyDescent="0.25">
      <c r="A196" t="s">
        <v>12</v>
      </c>
      <c r="B196" t="s">
        <v>43</v>
      </c>
      <c r="C196" t="s">
        <v>44</v>
      </c>
      <c r="D196">
        <v>415</v>
      </c>
      <c r="E196" t="s">
        <v>8</v>
      </c>
      <c r="F196">
        <v>0.41543286625452203</v>
      </c>
      <c r="G196">
        <f t="shared" si="32"/>
        <v>0.41543286625452203</v>
      </c>
      <c r="H196">
        <f t="shared" si="33"/>
        <v>2.0034274422168338E-3</v>
      </c>
      <c r="I196">
        <f t="shared" si="34"/>
        <v>207.36107407755031</v>
      </c>
      <c r="J196">
        <f t="shared" si="35"/>
        <v>499.14460535365305</v>
      </c>
    </row>
    <row r="197" spans="1:10" x14ac:dyDescent="0.25">
      <c r="A197" t="s">
        <v>13</v>
      </c>
      <c r="B197" t="s">
        <v>43</v>
      </c>
      <c r="C197" t="s">
        <v>44</v>
      </c>
      <c r="D197">
        <v>1006</v>
      </c>
      <c r="E197" t="s">
        <v>8</v>
      </c>
      <c r="F197">
        <v>0.30066329050158502</v>
      </c>
      <c r="G197">
        <f t="shared" si="32"/>
        <v>0.30066329050158502</v>
      </c>
      <c r="H197">
        <f t="shared" si="33"/>
        <v>9.0597767504458119E-4</v>
      </c>
      <c r="I197">
        <f t="shared" si="34"/>
        <v>331.8661141255937</v>
      </c>
      <c r="J197">
        <f t="shared" si="35"/>
        <v>1103.7799578789754</v>
      </c>
    </row>
    <row r="198" spans="1:10" x14ac:dyDescent="0.25">
      <c r="A198" t="s">
        <v>14</v>
      </c>
      <c r="B198" t="s">
        <v>43</v>
      </c>
      <c r="C198" t="s">
        <v>44</v>
      </c>
      <c r="D198">
        <v>246</v>
      </c>
      <c r="E198" t="s">
        <v>8</v>
      </c>
      <c r="F198">
        <v>0.44319452064272802</v>
      </c>
      <c r="G198">
        <f t="shared" si="32"/>
        <v>0.44319452064272802</v>
      </c>
      <c r="H198">
        <f t="shared" si="33"/>
        <v>3.2933549871814035E-3</v>
      </c>
      <c r="I198">
        <f t="shared" si="34"/>
        <v>134.57235019235907</v>
      </c>
      <c r="J198">
        <f t="shared" si="35"/>
        <v>303.64172823526792</v>
      </c>
    </row>
    <row r="199" spans="1:10" x14ac:dyDescent="0.25">
      <c r="A199" t="s">
        <v>15</v>
      </c>
      <c r="B199" t="s">
        <v>43</v>
      </c>
      <c r="C199" t="s">
        <v>44</v>
      </c>
      <c r="D199">
        <v>246</v>
      </c>
      <c r="E199" t="s">
        <v>8</v>
      </c>
      <c r="F199">
        <v>0.61987631090124196</v>
      </c>
      <c r="G199">
        <f t="shared" si="32"/>
        <v>0.61987631090124196</v>
      </c>
      <c r="H199">
        <f t="shared" si="33"/>
        <v>2.5235793409158474E-3</v>
      </c>
      <c r="I199">
        <f t="shared" si="34"/>
        <v>245.63377138611338</v>
      </c>
      <c r="J199">
        <f t="shared" si="35"/>
        <v>396.26255603958305</v>
      </c>
    </row>
    <row r="200" spans="1:10" x14ac:dyDescent="0.25">
      <c r="A200" t="s">
        <v>16</v>
      </c>
      <c r="B200" t="s">
        <v>43</v>
      </c>
      <c r="C200" t="s">
        <v>44</v>
      </c>
      <c r="D200">
        <v>246</v>
      </c>
      <c r="E200" t="s">
        <v>8</v>
      </c>
      <c r="F200">
        <v>9.9602263238929706E-2</v>
      </c>
      <c r="G200">
        <f t="shared" si="32"/>
        <v>9.9602263238929706E-2</v>
      </c>
      <c r="H200">
        <f t="shared" si="33"/>
        <v>4.0577024145806674E-3</v>
      </c>
      <c r="I200">
        <f t="shared" si="34"/>
        <v>24.546468188752783</v>
      </c>
      <c r="J200">
        <f t="shared" si="35"/>
        <v>246.4448837861222</v>
      </c>
    </row>
    <row r="201" spans="1:10" x14ac:dyDescent="0.25">
      <c r="A201" t="s">
        <v>17</v>
      </c>
      <c r="B201" t="s">
        <v>43</v>
      </c>
      <c r="C201" t="s">
        <v>44</v>
      </c>
      <c r="D201">
        <v>246</v>
      </c>
      <c r="E201" t="s">
        <v>8</v>
      </c>
      <c r="F201">
        <v>0.47331031247043798</v>
      </c>
      <c r="G201">
        <f t="shared" si="32"/>
        <v>0.47331031247043798</v>
      </c>
      <c r="H201">
        <f t="shared" si="33"/>
        <v>3.1802350332341654E-3</v>
      </c>
      <c r="I201">
        <f t="shared" si="34"/>
        <v>148.82872099836635</v>
      </c>
      <c r="J201">
        <f t="shared" si="35"/>
        <v>314.4421684403124</v>
      </c>
    </row>
    <row r="202" spans="1:10" x14ac:dyDescent="0.25">
      <c r="A202" t="s">
        <v>18</v>
      </c>
      <c r="B202" t="s">
        <v>43</v>
      </c>
      <c r="C202" t="s">
        <v>44</v>
      </c>
      <c r="D202">
        <v>246</v>
      </c>
      <c r="E202" t="s">
        <v>8</v>
      </c>
      <c r="F202">
        <v>0.211956375094905</v>
      </c>
      <c r="G202">
        <f t="shared" si="32"/>
        <v>0.211956375094905</v>
      </c>
      <c r="H202">
        <f t="shared" si="33"/>
        <v>3.9142397338386391E-3</v>
      </c>
      <c r="I202">
        <f t="shared" si="34"/>
        <v>54.150074984559623</v>
      </c>
      <c r="J202">
        <f t="shared" si="35"/>
        <v>255.47745360484456</v>
      </c>
    </row>
    <row r="203" spans="1:10" x14ac:dyDescent="0.25">
      <c r="A203" t="s">
        <v>19</v>
      </c>
      <c r="B203" t="s">
        <v>43</v>
      </c>
      <c r="C203" t="s">
        <v>44</v>
      </c>
      <c r="D203">
        <v>266</v>
      </c>
      <c r="E203" t="s">
        <v>8</v>
      </c>
      <c r="F203">
        <v>-8.7092247459309106E-3</v>
      </c>
      <c r="G203">
        <f t="shared" si="32"/>
        <v>-8.7092247459309106E-3</v>
      </c>
      <c r="H203">
        <f t="shared" si="33"/>
        <v>3.787591475016382E-3</v>
      </c>
      <c r="I203">
        <f t="shared" si="34"/>
        <v>-2.299409744524584</v>
      </c>
      <c r="J203">
        <f t="shared" si="35"/>
        <v>264.02002607624803</v>
      </c>
    </row>
    <row r="204" spans="1:10" x14ac:dyDescent="0.25">
      <c r="A204" t="s">
        <v>20</v>
      </c>
      <c r="B204" t="s">
        <v>43</v>
      </c>
      <c r="C204" t="s">
        <v>44</v>
      </c>
      <c r="D204">
        <v>245</v>
      </c>
      <c r="E204" t="s">
        <v>8</v>
      </c>
      <c r="F204">
        <v>0.50172374225102701</v>
      </c>
      <c r="G204">
        <f t="shared" si="32"/>
        <v>0.50172374225102701</v>
      </c>
      <c r="H204">
        <f t="shared" si="33"/>
        <v>3.0793139360560701E-3</v>
      </c>
      <c r="I204">
        <f t="shared" si="34"/>
        <v>162.93361205438694</v>
      </c>
      <c r="J204">
        <f t="shared" si="35"/>
        <v>324.74766157840406</v>
      </c>
    </row>
    <row r="205" spans="1:10" x14ac:dyDescent="0.25">
      <c r="A205" t="s">
        <v>21</v>
      </c>
      <c r="B205" t="s">
        <v>43</v>
      </c>
      <c r="C205" t="s">
        <v>44</v>
      </c>
      <c r="D205">
        <v>394</v>
      </c>
      <c r="E205" t="s">
        <v>8</v>
      </c>
      <c r="F205">
        <v>0.46916099927108201</v>
      </c>
      <c r="G205">
        <f t="shared" si="32"/>
        <v>0.46916099927108201</v>
      </c>
      <c r="H205">
        <f t="shared" si="33"/>
        <v>1.9895100937830606E-3</v>
      </c>
      <c r="I205">
        <f t="shared" si="34"/>
        <v>235.81735058150454</v>
      </c>
      <c r="J205">
        <f t="shared" si="35"/>
        <v>502.63630384427773</v>
      </c>
    </row>
    <row r="206" spans="1:10" x14ac:dyDescent="0.25">
      <c r="A206" t="s">
        <v>22</v>
      </c>
      <c r="B206" t="s">
        <v>43</v>
      </c>
      <c r="C206" t="s">
        <v>44</v>
      </c>
      <c r="D206">
        <v>398</v>
      </c>
      <c r="E206" t="s">
        <v>8</v>
      </c>
      <c r="F206">
        <v>0.42339993511818602</v>
      </c>
      <c r="G206">
        <f t="shared" si="32"/>
        <v>0.42339993511818602</v>
      </c>
      <c r="H206">
        <f t="shared" si="33"/>
        <v>2.0725568054088786E-3</v>
      </c>
      <c r="I206">
        <f t="shared" si="34"/>
        <v>204.28869983838959</v>
      </c>
      <c r="J206">
        <f t="shared" si="35"/>
        <v>482.49582225695269</v>
      </c>
    </row>
    <row r="207" spans="1:10" x14ac:dyDescent="0.25">
      <c r="A207" t="s">
        <v>23</v>
      </c>
      <c r="B207" t="s">
        <v>43</v>
      </c>
      <c r="C207" t="s">
        <v>44</v>
      </c>
      <c r="D207">
        <v>1127</v>
      </c>
      <c r="E207" t="s">
        <v>8</v>
      </c>
      <c r="F207">
        <v>0.18547854430720701</v>
      </c>
      <c r="G207">
        <f t="shared" si="32"/>
        <v>0.18547854430720701</v>
      </c>
      <c r="H207">
        <f t="shared" si="33"/>
        <v>8.5830907520149284E-4</v>
      </c>
      <c r="I207">
        <f t="shared" si="34"/>
        <v>216.09761526017289</v>
      </c>
      <c r="J207">
        <f t="shared" si="35"/>
        <v>1165.0814711067158</v>
      </c>
    </row>
    <row r="208" spans="1:10" x14ac:dyDescent="0.25">
      <c r="A208" t="s">
        <v>24</v>
      </c>
      <c r="B208" t="s">
        <v>43</v>
      </c>
      <c r="C208" t="s">
        <v>44</v>
      </c>
      <c r="D208">
        <v>1137</v>
      </c>
      <c r="E208" t="s">
        <v>8</v>
      </c>
      <c r="F208">
        <v>0.39363779461937498</v>
      </c>
      <c r="G208">
        <f t="shared" si="32"/>
        <v>0.39363779461937498</v>
      </c>
      <c r="H208">
        <f t="shared" si="33"/>
        <v>7.4453681642924654E-4</v>
      </c>
      <c r="I208">
        <f t="shared" si="34"/>
        <v>528.70158457339687</v>
      </c>
      <c r="J208">
        <f t="shared" si="35"/>
        <v>1343.1169257632409</v>
      </c>
    </row>
    <row r="209" spans="1:13" x14ac:dyDescent="0.25">
      <c r="A209" t="s">
        <v>25</v>
      </c>
      <c r="B209" t="s">
        <v>43</v>
      </c>
      <c r="C209" t="s">
        <v>44</v>
      </c>
      <c r="D209">
        <v>415</v>
      </c>
      <c r="E209" t="s">
        <v>8</v>
      </c>
      <c r="F209">
        <v>0.28958788899112797</v>
      </c>
      <c r="G209">
        <f t="shared" si="32"/>
        <v>0.28958788899112797</v>
      </c>
      <c r="H209">
        <f t="shared" si="33"/>
        <v>2.2182538851081408E-3</v>
      </c>
      <c r="I209">
        <f t="shared" si="34"/>
        <v>130.54767578013752</v>
      </c>
      <c r="J209">
        <f t="shared" si="35"/>
        <v>450.80502584186826</v>
      </c>
    </row>
    <row r="210" spans="1:13" x14ac:dyDescent="0.25">
      <c r="A210" t="s">
        <v>26</v>
      </c>
      <c r="B210" t="s">
        <v>43</v>
      </c>
      <c r="C210" t="s">
        <v>44</v>
      </c>
      <c r="D210">
        <v>397</v>
      </c>
      <c r="E210" t="s">
        <v>8</v>
      </c>
      <c r="F210">
        <v>0.54024684001526901</v>
      </c>
      <c r="G210">
        <f t="shared" si="32"/>
        <v>0.54024684001526901</v>
      </c>
      <c r="H210">
        <f t="shared" si="33"/>
        <v>1.7927426629202946E-3</v>
      </c>
      <c r="I210">
        <f t="shared" si="34"/>
        <v>301.35214115741076</v>
      </c>
      <c r="J210">
        <f t="shared" si="35"/>
        <v>557.80454199212647</v>
      </c>
    </row>
    <row r="211" spans="1:13" x14ac:dyDescent="0.25">
      <c r="A211" t="s">
        <v>6</v>
      </c>
      <c r="B211" t="s">
        <v>45</v>
      </c>
      <c r="C211" t="s">
        <v>46</v>
      </c>
      <c r="D211">
        <v>1142</v>
      </c>
      <c r="E211" t="s">
        <v>8</v>
      </c>
      <c r="F211">
        <v>0.64556041278221798</v>
      </c>
      <c r="G211">
        <f t="shared" si="32"/>
        <v>0.64556041278221798</v>
      </c>
      <c r="H211">
        <f t="shared" si="33"/>
        <v>5.116243451302213E-4</v>
      </c>
      <c r="I211">
        <f t="shared" si="34"/>
        <v>1261.7859547279882</v>
      </c>
      <c r="J211">
        <f t="shared" si="35"/>
        <v>1954.5590617770051</v>
      </c>
      <c r="K211">
        <f t="shared" ref="K211:L211" si="36">SUM(I211:I229)</f>
        <v>5270.6224213591886</v>
      </c>
      <c r="L211">
        <f t="shared" si="36"/>
        <v>12587.53187691771</v>
      </c>
      <c r="M211">
        <f t="shared" ref="M211" si="37">K211/L211</f>
        <v>0.41871770200035419</v>
      </c>
    </row>
    <row r="212" spans="1:13" x14ac:dyDescent="0.25">
      <c r="A212" t="s">
        <v>9</v>
      </c>
      <c r="B212" t="s">
        <v>45</v>
      </c>
      <c r="C212" t="s">
        <v>46</v>
      </c>
      <c r="D212">
        <v>1128</v>
      </c>
      <c r="E212" t="s">
        <v>8</v>
      </c>
      <c r="F212">
        <v>0.44106183054173698</v>
      </c>
      <c r="G212">
        <f t="shared" si="32"/>
        <v>0.44106183054173698</v>
      </c>
      <c r="H212">
        <f t="shared" si="33"/>
        <v>7.1533255918221318E-4</v>
      </c>
      <c r="I212">
        <f t="shared" si="34"/>
        <v>616.58290941764255</v>
      </c>
      <c r="J212">
        <f t="shared" si="35"/>
        <v>1397.9511867084955</v>
      </c>
    </row>
    <row r="213" spans="1:13" x14ac:dyDescent="0.25">
      <c r="A213" t="s">
        <v>10</v>
      </c>
      <c r="B213" t="s">
        <v>45</v>
      </c>
      <c r="C213" t="s">
        <v>46</v>
      </c>
      <c r="D213">
        <v>414</v>
      </c>
      <c r="E213" t="s">
        <v>8</v>
      </c>
      <c r="F213">
        <v>0.37464768011496202</v>
      </c>
      <c r="G213">
        <f t="shared" si="32"/>
        <v>0.37464768011496202</v>
      </c>
      <c r="H213">
        <f t="shared" si="33"/>
        <v>2.0865027082147499E-3</v>
      </c>
      <c r="I213">
        <f t="shared" si="34"/>
        <v>179.5577252979065</v>
      </c>
      <c r="J213">
        <f t="shared" si="35"/>
        <v>479.27088522958036</v>
      </c>
    </row>
    <row r="214" spans="1:13" x14ac:dyDescent="0.25">
      <c r="A214" t="s">
        <v>11</v>
      </c>
      <c r="B214" t="s">
        <v>45</v>
      </c>
      <c r="C214" t="s">
        <v>46</v>
      </c>
      <c r="D214">
        <v>395</v>
      </c>
      <c r="E214" t="s">
        <v>8</v>
      </c>
      <c r="F214">
        <v>0.47333980151480498</v>
      </c>
      <c r="G214">
        <f t="shared" si="32"/>
        <v>0.47333980151480498</v>
      </c>
      <c r="H214">
        <f t="shared" si="33"/>
        <v>1.9744260363916666E-3</v>
      </c>
      <c r="I214">
        <f t="shared" si="34"/>
        <v>239.73539286376621</v>
      </c>
      <c r="J214">
        <f t="shared" si="35"/>
        <v>506.47630327420893</v>
      </c>
    </row>
    <row r="215" spans="1:13" x14ac:dyDescent="0.25">
      <c r="A215" t="s">
        <v>12</v>
      </c>
      <c r="B215" t="s">
        <v>45</v>
      </c>
      <c r="C215" t="s">
        <v>46</v>
      </c>
      <c r="D215">
        <v>415</v>
      </c>
      <c r="E215" t="s">
        <v>8</v>
      </c>
      <c r="F215">
        <v>0.43756928300810899</v>
      </c>
      <c r="G215">
        <f t="shared" si="32"/>
        <v>0.43756928300810899</v>
      </c>
      <c r="H215">
        <f t="shared" si="33"/>
        <v>1.9577073185660277E-3</v>
      </c>
      <c r="I215">
        <f t="shared" si="34"/>
        <v>223.51108301960974</v>
      </c>
      <c r="J215">
        <f t="shared" si="35"/>
        <v>510.80158434125656</v>
      </c>
    </row>
    <row r="216" spans="1:13" x14ac:dyDescent="0.25">
      <c r="A216" t="s">
        <v>13</v>
      </c>
      <c r="B216" t="s">
        <v>45</v>
      </c>
      <c r="C216" t="s">
        <v>46</v>
      </c>
      <c r="D216">
        <v>1006</v>
      </c>
      <c r="E216" t="s">
        <v>8</v>
      </c>
      <c r="F216">
        <v>0.30147463927768298</v>
      </c>
      <c r="G216">
        <f t="shared" si="32"/>
        <v>0.30147463927768298</v>
      </c>
      <c r="H216">
        <f t="shared" si="33"/>
        <v>9.0549107756214239E-4</v>
      </c>
      <c r="I216">
        <f t="shared" si="34"/>
        <v>332.94048582935181</v>
      </c>
      <c r="J216">
        <f t="shared" si="35"/>
        <v>1104.3731128663403</v>
      </c>
    </row>
    <row r="217" spans="1:13" x14ac:dyDescent="0.25">
      <c r="A217" t="s">
        <v>14</v>
      </c>
      <c r="B217" t="s">
        <v>45</v>
      </c>
      <c r="C217" t="s">
        <v>46</v>
      </c>
      <c r="D217">
        <v>246</v>
      </c>
      <c r="E217" t="s">
        <v>8</v>
      </c>
      <c r="F217">
        <v>0.44506766994539299</v>
      </c>
      <c r="G217">
        <f t="shared" si="32"/>
        <v>0.44506766994539299</v>
      </c>
      <c r="H217">
        <f t="shared" si="33"/>
        <v>3.2865359392187654E-3</v>
      </c>
      <c r="I217">
        <f t="shared" si="34"/>
        <v>135.42151316050692</v>
      </c>
      <c r="J217">
        <f t="shared" si="35"/>
        <v>304.2717373228262</v>
      </c>
    </row>
    <row r="218" spans="1:13" x14ac:dyDescent="0.25">
      <c r="A218" t="s">
        <v>15</v>
      </c>
      <c r="B218" t="s">
        <v>45</v>
      </c>
      <c r="C218" t="s">
        <v>46</v>
      </c>
      <c r="D218">
        <v>246</v>
      </c>
      <c r="E218" t="s">
        <v>8</v>
      </c>
      <c r="F218">
        <v>0.62284282454222495</v>
      </c>
      <c r="G218">
        <f t="shared" si="32"/>
        <v>0.62284282454222495</v>
      </c>
      <c r="H218">
        <f t="shared" si="33"/>
        <v>2.5084705570338657E-3</v>
      </c>
      <c r="I218">
        <f t="shared" si="34"/>
        <v>248.29584815964665</v>
      </c>
      <c r="J218">
        <f t="shared" si="35"/>
        <v>398.64928738986168</v>
      </c>
    </row>
    <row r="219" spans="1:13" x14ac:dyDescent="0.25">
      <c r="A219" t="s">
        <v>16</v>
      </c>
      <c r="B219" t="s">
        <v>45</v>
      </c>
      <c r="C219" t="s">
        <v>46</v>
      </c>
      <c r="D219">
        <v>246</v>
      </c>
      <c r="E219" t="s">
        <v>8</v>
      </c>
      <c r="F219">
        <v>0.11290486325103199</v>
      </c>
      <c r="G219">
        <f t="shared" si="32"/>
        <v>0.11290486325103199</v>
      </c>
      <c r="H219">
        <f t="shared" si="33"/>
        <v>4.0461167698945316E-3</v>
      </c>
      <c r="I219">
        <f t="shared" si="34"/>
        <v>27.904499467516612</v>
      </c>
      <c r="J219">
        <f t="shared" si="35"/>
        <v>247.15055369646848</v>
      </c>
    </row>
    <row r="220" spans="1:13" x14ac:dyDescent="0.25">
      <c r="A220" t="s">
        <v>17</v>
      </c>
      <c r="B220" t="s">
        <v>45</v>
      </c>
      <c r="C220" t="s">
        <v>46</v>
      </c>
      <c r="D220">
        <v>246</v>
      </c>
      <c r="E220" t="s">
        <v>8</v>
      </c>
      <c r="F220">
        <v>0.46893386077483601</v>
      </c>
      <c r="G220">
        <f t="shared" si="32"/>
        <v>0.46893386077483601</v>
      </c>
      <c r="H220">
        <f t="shared" si="33"/>
        <v>3.1971353861426507E-3</v>
      </c>
      <c r="I220">
        <f t="shared" si="34"/>
        <v>146.67313208171817</v>
      </c>
      <c r="J220">
        <f t="shared" si="35"/>
        <v>312.77999809901752</v>
      </c>
    </row>
    <row r="221" spans="1:13" x14ac:dyDescent="0.25">
      <c r="A221" t="s">
        <v>18</v>
      </c>
      <c r="B221" t="s">
        <v>45</v>
      </c>
      <c r="C221" t="s">
        <v>46</v>
      </c>
      <c r="D221">
        <v>246</v>
      </c>
      <c r="E221" t="s">
        <v>8</v>
      </c>
      <c r="F221">
        <v>0.20052010406356699</v>
      </c>
      <c r="G221">
        <f t="shared" si="32"/>
        <v>0.20052010406356699</v>
      </c>
      <c r="H221">
        <f t="shared" si="33"/>
        <v>3.9335724912554762E-3</v>
      </c>
      <c r="I221">
        <f t="shared" si="34"/>
        <v>50.976587951368124</v>
      </c>
      <c r="J221">
        <f t="shared" si="35"/>
        <v>254.22183072081393</v>
      </c>
    </row>
    <row r="222" spans="1:13" x14ac:dyDescent="0.25">
      <c r="A222" t="s">
        <v>19</v>
      </c>
      <c r="B222" t="s">
        <v>45</v>
      </c>
      <c r="C222" t="s">
        <v>46</v>
      </c>
      <c r="D222">
        <v>266</v>
      </c>
      <c r="E222" t="s">
        <v>8</v>
      </c>
      <c r="F222">
        <v>-2.6936631337275099E-2</v>
      </c>
      <c r="G222">
        <f t="shared" si="32"/>
        <v>-2.6936631337275099E-2</v>
      </c>
      <c r="H222">
        <f t="shared" si="33"/>
        <v>3.7851303708037868E-3</v>
      </c>
      <c r="I222">
        <f t="shared" si="34"/>
        <v>-7.116434230389534</v>
      </c>
      <c r="J222">
        <f t="shared" si="35"/>
        <v>264.19169276529999</v>
      </c>
    </row>
    <row r="223" spans="1:13" x14ac:dyDescent="0.25">
      <c r="A223" t="s">
        <v>20</v>
      </c>
      <c r="B223" t="s">
        <v>45</v>
      </c>
      <c r="C223" t="s">
        <v>46</v>
      </c>
      <c r="D223">
        <v>245</v>
      </c>
      <c r="E223" t="s">
        <v>8</v>
      </c>
      <c r="F223">
        <v>0.51094988753173498</v>
      </c>
      <c r="G223">
        <f t="shared" si="32"/>
        <v>0.51094988753173498</v>
      </c>
      <c r="H223">
        <f t="shared" si="33"/>
        <v>3.040865071733775E-3</v>
      </c>
      <c r="I223">
        <f t="shared" si="34"/>
        <v>168.02780639011141</v>
      </c>
      <c r="J223">
        <f t="shared" si="35"/>
        <v>328.85378877723156</v>
      </c>
    </row>
    <row r="224" spans="1:13" x14ac:dyDescent="0.25">
      <c r="A224" t="s">
        <v>21</v>
      </c>
      <c r="B224" t="s">
        <v>45</v>
      </c>
      <c r="C224" t="s">
        <v>46</v>
      </c>
      <c r="D224">
        <v>394</v>
      </c>
      <c r="E224" t="s">
        <v>8</v>
      </c>
      <c r="F224">
        <v>0.47889176456826699</v>
      </c>
      <c r="G224">
        <f t="shared" si="32"/>
        <v>0.47889176456826699</v>
      </c>
      <c r="H224">
        <f t="shared" si="33"/>
        <v>1.9659762189507437E-3</v>
      </c>
      <c r="I224">
        <f t="shared" si="34"/>
        <v>243.58980538628037</v>
      </c>
      <c r="J224">
        <f t="shared" si="35"/>
        <v>508.65315173227657</v>
      </c>
    </row>
    <row r="225" spans="1:13" x14ac:dyDescent="0.25">
      <c r="A225" t="s">
        <v>22</v>
      </c>
      <c r="B225" t="s">
        <v>45</v>
      </c>
      <c r="C225" t="s">
        <v>46</v>
      </c>
      <c r="D225">
        <v>398</v>
      </c>
      <c r="E225" t="s">
        <v>8</v>
      </c>
      <c r="F225">
        <v>0.42956888897192103</v>
      </c>
      <c r="G225">
        <f t="shared" si="32"/>
        <v>0.42956888897192103</v>
      </c>
      <c r="H225">
        <f t="shared" si="33"/>
        <v>2.0592691152207811E-3</v>
      </c>
      <c r="I225">
        <f t="shared" si="34"/>
        <v>208.60259875546453</v>
      </c>
      <c r="J225">
        <f t="shared" si="35"/>
        <v>485.60918658404034</v>
      </c>
    </row>
    <row r="226" spans="1:13" x14ac:dyDescent="0.25">
      <c r="A226" t="s">
        <v>23</v>
      </c>
      <c r="B226" t="s">
        <v>45</v>
      </c>
      <c r="C226" t="s">
        <v>46</v>
      </c>
      <c r="D226">
        <v>1127</v>
      </c>
      <c r="E226" t="s">
        <v>8</v>
      </c>
      <c r="F226">
        <v>0.18402764186529499</v>
      </c>
      <c r="G226">
        <f t="shared" si="32"/>
        <v>0.18402764186529499</v>
      </c>
      <c r="H226">
        <f t="shared" si="33"/>
        <v>8.5878562402622103E-4</v>
      </c>
      <c r="I226">
        <f t="shared" si="34"/>
        <v>214.28821898825373</v>
      </c>
      <c r="J226">
        <f t="shared" si="35"/>
        <v>1164.4349556199224</v>
      </c>
    </row>
    <row r="227" spans="1:13" x14ac:dyDescent="0.25">
      <c r="A227" t="s">
        <v>24</v>
      </c>
      <c r="B227" t="s">
        <v>45</v>
      </c>
      <c r="C227" t="s">
        <v>46</v>
      </c>
      <c r="D227">
        <v>1137</v>
      </c>
      <c r="E227" t="s">
        <v>8</v>
      </c>
      <c r="F227">
        <v>0.39850873201737902</v>
      </c>
      <c r="G227">
        <f t="shared" si="32"/>
        <v>0.39850873201737902</v>
      </c>
      <c r="H227">
        <f t="shared" si="33"/>
        <v>7.4113726035762186E-4</v>
      </c>
      <c r="I227">
        <f t="shared" si="34"/>
        <v>537.69895717439181</v>
      </c>
      <c r="J227">
        <f t="shared" si="35"/>
        <v>1349.2777296306338</v>
      </c>
    </row>
    <row r="228" spans="1:13" x14ac:dyDescent="0.25">
      <c r="A228" t="s">
        <v>25</v>
      </c>
      <c r="B228" t="s">
        <v>45</v>
      </c>
      <c r="C228" t="s">
        <v>46</v>
      </c>
      <c r="D228">
        <v>415</v>
      </c>
      <c r="E228" t="s">
        <v>8</v>
      </c>
      <c r="F228">
        <v>0.29706787898509202</v>
      </c>
      <c r="G228">
        <f t="shared" si="32"/>
        <v>0.29706787898509202</v>
      </c>
      <c r="H228">
        <f t="shared" si="33"/>
        <v>2.2076287536932173E-3</v>
      </c>
      <c r="I228">
        <f t="shared" si="34"/>
        <v>134.56423707478763</v>
      </c>
      <c r="J228">
        <f t="shared" si="35"/>
        <v>452.97471249505423</v>
      </c>
    </row>
    <row r="229" spans="1:13" x14ac:dyDescent="0.25">
      <c r="A229" t="s">
        <v>26</v>
      </c>
      <c r="B229" t="s">
        <v>45</v>
      </c>
      <c r="C229" t="s">
        <v>46</v>
      </c>
      <c r="D229">
        <v>397</v>
      </c>
      <c r="E229" t="s">
        <v>8</v>
      </c>
      <c r="F229">
        <v>0.54629680326975205</v>
      </c>
      <c r="G229">
        <f t="shared" si="32"/>
        <v>0.54629680326975205</v>
      </c>
      <c r="H229">
        <f t="shared" si="33"/>
        <v>1.7761007664234172E-3</v>
      </c>
      <c r="I229">
        <f t="shared" si="34"/>
        <v>307.58209984326783</v>
      </c>
      <c r="J229">
        <f t="shared" si="35"/>
        <v>563.03111788737499</v>
      </c>
    </row>
    <row r="230" spans="1:13" x14ac:dyDescent="0.25">
      <c r="A230" t="s">
        <v>6</v>
      </c>
      <c r="B230" t="s">
        <v>47</v>
      </c>
      <c r="C230" t="s">
        <v>48</v>
      </c>
      <c r="D230">
        <v>1142</v>
      </c>
      <c r="E230" t="s">
        <v>8</v>
      </c>
      <c r="F230">
        <v>0.65381420859885997</v>
      </c>
      <c r="G230">
        <f t="shared" si="32"/>
        <v>0.65381420859885997</v>
      </c>
      <c r="H230">
        <f t="shared" si="33"/>
        <v>5.0221664967916343E-4</v>
      </c>
      <c r="I230">
        <f t="shared" si="34"/>
        <v>1301.856895856685</v>
      </c>
      <c r="J230">
        <f t="shared" si="35"/>
        <v>1991.1725360735072</v>
      </c>
      <c r="K230">
        <f t="shared" ref="K230:L230" si="38">SUM(I230:I248)</f>
        <v>5256.1599436628576</v>
      </c>
      <c r="L230">
        <f t="shared" si="38"/>
        <v>12613.000119310735</v>
      </c>
      <c r="M230">
        <f t="shared" ref="M230" si="39">K230/L230</f>
        <v>0.41672559216229454</v>
      </c>
    </row>
    <row r="231" spans="1:13" x14ac:dyDescent="0.25">
      <c r="A231" t="s">
        <v>9</v>
      </c>
      <c r="B231" t="s">
        <v>47</v>
      </c>
      <c r="C231" t="s">
        <v>48</v>
      </c>
      <c r="D231">
        <v>1128</v>
      </c>
      <c r="E231" t="s">
        <v>8</v>
      </c>
      <c r="F231">
        <v>0.471574394452972</v>
      </c>
      <c r="G231">
        <f t="shared" si="32"/>
        <v>0.471574394452972</v>
      </c>
      <c r="H231">
        <f t="shared" si="33"/>
        <v>6.9060176775871467E-4</v>
      </c>
      <c r="I231">
        <f t="shared" si="34"/>
        <v>682.84562314895868</v>
      </c>
      <c r="J231">
        <f t="shared" si="35"/>
        <v>1448.0125112413325</v>
      </c>
    </row>
    <row r="232" spans="1:13" x14ac:dyDescent="0.25">
      <c r="A232" t="s">
        <v>10</v>
      </c>
      <c r="B232" t="s">
        <v>47</v>
      </c>
      <c r="C232" t="s">
        <v>48</v>
      </c>
      <c r="D232">
        <v>414</v>
      </c>
      <c r="E232" t="s">
        <v>8</v>
      </c>
      <c r="F232">
        <v>0.310489945181741</v>
      </c>
      <c r="G232">
        <f t="shared" si="32"/>
        <v>0.310489945181741</v>
      </c>
      <c r="H232">
        <f t="shared" si="33"/>
        <v>2.1931941600510669E-3</v>
      </c>
      <c r="I232">
        <f t="shared" si="34"/>
        <v>141.56974828644968</v>
      </c>
      <c r="J232">
        <f t="shared" si="35"/>
        <v>455.95598338485257</v>
      </c>
    </row>
    <row r="233" spans="1:13" x14ac:dyDescent="0.25">
      <c r="A233" t="s">
        <v>11</v>
      </c>
      <c r="B233" t="s">
        <v>47</v>
      </c>
      <c r="C233" t="s">
        <v>48</v>
      </c>
      <c r="D233">
        <v>395</v>
      </c>
      <c r="E233" t="s">
        <v>8</v>
      </c>
      <c r="F233">
        <v>0.53116607674249305</v>
      </c>
      <c r="G233">
        <f t="shared" si="32"/>
        <v>0.53116607674249305</v>
      </c>
      <c r="H233">
        <f t="shared" si="33"/>
        <v>1.8266223891042952E-3</v>
      </c>
      <c r="I233">
        <f t="shared" si="34"/>
        <v>290.79139723178162</v>
      </c>
      <c r="J233">
        <f t="shared" si="35"/>
        <v>547.45852561807328</v>
      </c>
    </row>
    <row r="234" spans="1:13" x14ac:dyDescent="0.25">
      <c r="A234" t="s">
        <v>12</v>
      </c>
      <c r="B234" t="s">
        <v>47</v>
      </c>
      <c r="C234" t="s">
        <v>48</v>
      </c>
      <c r="D234">
        <v>415</v>
      </c>
      <c r="E234" t="s">
        <v>8</v>
      </c>
      <c r="F234">
        <v>0.43781623115106399</v>
      </c>
      <c r="G234">
        <f t="shared" si="32"/>
        <v>0.43781623115106399</v>
      </c>
      <c r="H234">
        <f t="shared" si="33"/>
        <v>1.9571838928345718E-3</v>
      </c>
      <c r="I234">
        <f t="shared" si="34"/>
        <v>223.6970336583849</v>
      </c>
      <c r="J234">
        <f t="shared" si="35"/>
        <v>510.93819219598674</v>
      </c>
    </row>
    <row r="235" spans="1:13" x14ac:dyDescent="0.25">
      <c r="A235" t="s">
        <v>13</v>
      </c>
      <c r="B235" t="s">
        <v>47</v>
      </c>
      <c r="C235" t="s">
        <v>48</v>
      </c>
      <c r="D235">
        <v>1006</v>
      </c>
      <c r="E235" t="s">
        <v>8</v>
      </c>
      <c r="F235">
        <v>0.239453870155938</v>
      </c>
      <c r="G235">
        <f t="shared" si="32"/>
        <v>0.239453870155938</v>
      </c>
      <c r="H235">
        <f t="shared" si="33"/>
        <v>9.3890621919058093E-4</v>
      </c>
      <c r="I235">
        <f t="shared" si="34"/>
        <v>255.0349175047196</v>
      </c>
      <c r="J235">
        <f t="shared" si="35"/>
        <v>1065.0690980214054</v>
      </c>
    </row>
    <row r="236" spans="1:13" x14ac:dyDescent="0.25">
      <c r="A236" t="s">
        <v>14</v>
      </c>
      <c r="B236" t="s">
        <v>47</v>
      </c>
      <c r="C236" t="s">
        <v>48</v>
      </c>
      <c r="D236">
        <v>246</v>
      </c>
      <c r="E236" t="s">
        <v>8</v>
      </c>
      <c r="F236">
        <v>0.411670476519643</v>
      </c>
      <c r="G236">
        <f t="shared" si="32"/>
        <v>0.411670476519643</v>
      </c>
      <c r="H236">
        <f t="shared" si="33"/>
        <v>3.4038008965659428E-3</v>
      </c>
      <c r="I236">
        <f t="shared" si="34"/>
        <v>120.94434693138861</v>
      </c>
      <c r="J236">
        <f t="shared" si="35"/>
        <v>293.78921693360178</v>
      </c>
    </row>
    <row r="237" spans="1:13" x14ac:dyDescent="0.25">
      <c r="A237" t="s">
        <v>15</v>
      </c>
      <c r="B237" t="s">
        <v>47</v>
      </c>
      <c r="C237" t="s">
        <v>48</v>
      </c>
      <c r="D237">
        <v>246</v>
      </c>
      <c r="E237" t="s">
        <v>8</v>
      </c>
      <c r="F237">
        <v>0.52146200275195498</v>
      </c>
      <c r="G237">
        <f t="shared" si="32"/>
        <v>0.52146200275195498</v>
      </c>
      <c r="H237">
        <f t="shared" si="33"/>
        <v>2.9839236872373776E-3</v>
      </c>
      <c r="I237">
        <f t="shared" si="34"/>
        <v>174.75715112364117</v>
      </c>
      <c r="J237">
        <f t="shared" si="35"/>
        <v>335.12921402015996</v>
      </c>
    </row>
    <row r="238" spans="1:13" x14ac:dyDescent="0.25">
      <c r="A238" t="s">
        <v>16</v>
      </c>
      <c r="B238" t="s">
        <v>47</v>
      </c>
      <c r="C238" t="s">
        <v>48</v>
      </c>
      <c r="D238">
        <v>246</v>
      </c>
      <c r="E238" t="s">
        <v>8</v>
      </c>
      <c r="F238">
        <v>0.129562588914657</v>
      </c>
      <c r="G238">
        <f t="shared" si="32"/>
        <v>0.129562588914657</v>
      </c>
      <c r="H238">
        <f t="shared" si="33"/>
        <v>4.0295636703021782E-3</v>
      </c>
      <c r="I238">
        <f t="shared" si="34"/>
        <v>32.153007004091101</v>
      </c>
      <c r="J238">
        <f t="shared" si="35"/>
        <v>248.16582682884118</v>
      </c>
    </row>
    <row r="239" spans="1:13" x14ac:dyDescent="0.25">
      <c r="A239" t="s">
        <v>17</v>
      </c>
      <c r="B239" t="s">
        <v>47</v>
      </c>
      <c r="C239" t="s">
        <v>48</v>
      </c>
      <c r="D239">
        <v>246</v>
      </c>
      <c r="E239" t="s">
        <v>8</v>
      </c>
      <c r="F239">
        <v>0.42014770926108203</v>
      </c>
      <c r="G239">
        <f t="shared" si="32"/>
        <v>0.42014770926108203</v>
      </c>
      <c r="H239">
        <f t="shared" si="33"/>
        <v>3.3749012393551859E-3</v>
      </c>
      <c r="I239">
        <f t="shared" si="34"/>
        <v>124.49185308348642</v>
      </c>
      <c r="J239">
        <f t="shared" si="35"/>
        <v>296.30496689469396</v>
      </c>
    </row>
    <row r="240" spans="1:13" x14ac:dyDescent="0.25">
      <c r="A240" t="s">
        <v>18</v>
      </c>
      <c r="B240" t="s">
        <v>47</v>
      </c>
      <c r="C240" t="s">
        <v>48</v>
      </c>
      <c r="D240">
        <v>246</v>
      </c>
      <c r="E240" t="s">
        <v>8</v>
      </c>
      <c r="F240">
        <v>0.199675624103197</v>
      </c>
      <c r="G240">
        <f t="shared" si="32"/>
        <v>0.199675624103197</v>
      </c>
      <c r="H240">
        <f t="shared" si="33"/>
        <v>3.9349575620450774E-3</v>
      </c>
      <c r="I240">
        <f t="shared" si="34"/>
        <v>50.744034962202115</v>
      </c>
      <c r="J240">
        <f t="shared" si="35"/>
        <v>254.13234685059214</v>
      </c>
    </row>
    <row r="241" spans="1:13" x14ac:dyDescent="0.25">
      <c r="A241" t="s">
        <v>19</v>
      </c>
      <c r="B241" t="s">
        <v>47</v>
      </c>
      <c r="C241" t="s">
        <v>48</v>
      </c>
      <c r="D241">
        <v>266</v>
      </c>
      <c r="E241" t="s">
        <v>8</v>
      </c>
      <c r="F241">
        <v>-8.7397057387967103E-2</v>
      </c>
      <c r="G241">
        <f t="shared" si="32"/>
        <v>-8.7397057387967103E-2</v>
      </c>
      <c r="H241">
        <f t="shared" si="33"/>
        <v>3.7589460392421377E-3</v>
      </c>
      <c r="I241">
        <f t="shared" si="34"/>
        <v>-23.25041553551743</v>
      </c>
      <c r="J241">
        <f t="shared" si="35"/>
        <v>266.03201790085171</v>
      </c>
    </row>
    <row r="242" spans="1:13" x14ac:dyDescent="0.25">
      <c r="A242" t="s">
        <v>20</v>
      </c>
      <c r="B242" t="s">
        <v>47</v>
      </c>
      <c r="C242" t="s">
        <v>48</v>
      </c>
      <c r="D242">
        <v>245</v>
      </c>
      <c r="E242" t="s">
        <v>8</v>
      </c>
      <c r="F242">
        <v>0.43517248530485703</v>
      </c>
      <c r="G242">
        <f t="shared" si="32"/>
        <v>0.43517248530485703</v>
      </c>
      <c r="H242">
        <f t="shared" si="33"/>
        <v>3.3359049713316625E-3</v>
      </c>
      <c r="I242">
        <f t="shared" si="34"/>
        <v>130.45110368690754</v>
      </c>
      <c r="J242">
        <f t="shared" si="35"/>
        <v>299.76873100219314</v>
      </c>
    </row>
    <row r="243" spans="1:13" x14ac:dyDescent="0.25">
      <c r="A243" t="s">
        <v>21</v>
      </c>
      <c r="B243" t="s">
        <v>47</v>
      </c>
      <c r="C243" t="s">
        <v>48</v>
      </c>
      <c r="D243">
        <v>394</v>
      </c>
      <c r="E243" t="s">
        <v>8</v>
      </c>
      <c r="F243">
        <v>0.49610182028338401</v>
      </c>
      <c r="G243">
        <f t="shared" si="32"/>
        <v>0.49610182028338401</v>
      </c>
      <c r="H243">
        <f t="shared" si="33"/>
        <v>1.9231708773252882E-3</v>
      </c>
      <c r="I243">
        <f t="shared" si="34"/>
        <v>257.96034358286124</v>
      </c>
      <c r="J243">
        <f t="shared" si="35"/>
        <v>519.97459601238461</v>
      </c>
    </row>
    <row r="244" spans="1:13" x14ac:dyDescent="0.25">
      <c r="A244" t="s">
        <v>22</v>
      </c>
      <c r="B244" t="s">
        <v>47</v>
      </c>
      <c r="C244" t="s">
        <v>48</v>
      </c>
      <c r="D244">
        <v>398</v>
      </c>
      <c r="E244" t="s">
        <v>8</v>
      </c>
      <c r="F244">
        <v>0.434822395110738</v>
      </c>
      <c r="G244">
        <f t="shared" si="32"/>
        <v>0.434822395110738</v>
      </c>
      <c r="H244">
        <f t="shared" si="33"/>
        <v>2.0478017290660637E-3</v>
      </c>
      <c r="I244">
        <f t="shared" si="34"/>
        <v>212.33617929849413</v>
      </c>
      <c r="J244">
        <f t="shared" si="35"/>
        <v>488.32852605123435</v>
      </c>
    </row>
    <row r="245" spans="1:13" x14ac:dyDescent="0.25">
      <c r="A245" t="s">
        <v>23</v>
      </c>
      <c r="B245" t="s">
        <v>47</v>
      </c>
      <c r="C245" t="s">
        <v>48</v>
      </c>
      <c r="D245">
        <v>1127</v>
      </c>
      <c r="E245" t="s">
        <v>8</v>
      </c>
      <c r="F245">
        <v>0.18822456665575399</v>
      </c>
      <c r="G245">
        <f t="shared" si="32"/>
        <v>0.18822456665575399</v>
      </c>
      <c r="H245">
        <f t="shared" si="33"/>
        <v>8.5739690000644758E-4</v>
      </c>
      <c r="I245">
        <f t="shared" si="34"/>
        <v>219.53026265238253</v>
      </c>
      <c r="J245">
        <f t="shared" si="35"/>
        <v>1166.3209885555686</v>
      </c>
    </row>
    <row r="246" spans="1:13" x14ac:dyDescent="0.25">
      <c r="A246" t="s">
        <v>24</v>
      </c>
      <c r="B246" t="s">
        <v>47</v>
      </c>
      <c r="C246" t="s">
        <v>48</v>
      </c>
      <c r="D246">
        <v>1137</v>
      </c>
      <c r="E246" t="s">
        <v>8</v>
      </c>
      <c r="F246">
        <v>0.41012571148307397</v>
      </c>
      <c r="G246">
        <f t="shared" si="32"/>
        <v>0.41012571148307397</v>
      </c>
      <c r="H246">
        <f t="shared" si="33"/>
        <v>7.3286070553348233E-4</v>
      </c>
      <c r="I246">
        <f t="shared" si="34"/>
        <v>559.62300664561485</v>
      </c>
      <c r="J246">
        <f t="shared" si="35"/>
        <v>1364.5157837628296</v>
      </c>
    </row>
    <row r="247" spans="1:13" x14ac:dyDescent="0.25">
      <c r="A247" t="s">
        <v>25</v>
      </c>
      <c r="B247" t="s">
        <v>47</v>
      </c>
      <c r="C247" t="s">
        <v>48</v>
      </c>
      <c r="D247">
        <v>415</v>
      </c>
      <c r="E247" t="s">
        <v>8</v>
      </c>
      <c r="F247">
        <v>0.323143004606257</v>
      </c>
      <c r="G247">
        <f t="shared" si="32"/>
        <v>0.323143004606257</v>
      </c>
      <c r="H247">
        <f t="shared" si="33"/>
        <v>2.1684711829879915E-3</v>
      </c>
      <c r="I247">
        <f t="shared" si="34"/>
        <v>149.01881433397241</v>
      </c>
      <c r="J247">
        <f t="shared" si="35"/>
        <v>461.15438740674182</v>
      </c>
    </row>
    <row r="248" spans="1:13" x14ac:dyDescent="0.25">
      <c r="A248" t="s">
        <v>26</v>
      </c>
      <c r="B248" t="s">
        <v>47</v>
      </c>
      <c r="C248" t="s">
        <v>48</v>
      </c>
      <c r="D248">
        <v>397</v>
      </c>
      <c r="E248" t="s">
        <v>8</v>
      </c>
      <c r="F248">
        <v>0.58525015607051101</v>
      </c>
      <c r="G248">
        <f t="shared" si="32"/>
        <v>0.58525015607051101</v>
      </c>
      <c r="H248">
        <f t="shared" si="33"/>
        <v>1.664512037517576E-3</v>
      </c>
      <c r="I248">
        <f t="shared" si="34"/>
        <v>351.60464020635311</v>
      </c>
      <c r="J248">
        <f t="shared" si="35"/>
        <v>600.77667055588404</v>
      </c>
    </row>
    <row r="249" spans="1:13" x14ac:dyDescent="0.25">
      <c r="A249" t="s">
        <v>6</v>
      </c>
      <c r="B249" t="s">
        <v>49</v>
      </c>
      <c r="C249" t="s">
        <v>50</v>
      </c>
      <c r="D249">
        <v>1142</v>
      </c>
      <c r="E249" t="s">
        <v>8</v>
      </c>
      <c r="F249">
        <v>0.61404452366408202</v>
      </c>
      <c r="G249">
        <f t="shared" si="32"/>
        <v>0.61404452366408202</v>
      </c>
      <c r="H249">
        <f t="shared" si="33"/>
        <v>5.4644677452469353E-4</v>
      </c>
      <c r="I249">
        <f t="shared" si="34"/>
        <v>1123.7041781391899</v>
      </c>
      <c r="J249">
        <f t="shared" si="35"/>
        <v>1830.0043968048176</v>
      </c>
      <c r="K249">
        <f t="shared" ref="K249:L249" si="40">SUM(I249:I267)</f>
        <v>5326.6574565546352</v>
      </c>
      <c r="L249">
        <f t="shared" si="40"/>
        <v>12571.293569607811</v>
      </c>
      <c r="M249">
        <f t="shared" ref="M249" si="41">K249/L249</f>
        <v>0.42371593878232944</v>
      </c>
    </row>
    <row r="250" spans="1:13" x14ac:dyDescent="0.25">
      <c r="A250" t="s">
        <v>9</v>
      </c>
      <c r="B250" t="s">
        <v>49</v>
      </c>
      <c r="C250" t="s">
        <v>50</v>
      </c>
      <c r="D250">
        <v>1128</v>
      </c>
      <c r="E250" t="s">
        <v>8</v>
      </c>
      <c r="F250">
        <v>0.44154338953072603</v>
      </c>
      <c r="G250">
        <f t="shared" si="32"/>
        <v>0.44154338953072603</v>
      </c>
      <c r="H250">
        <f t="shared" si="33"/>
        <v>7.1495509339406535E-4</v>
      </c>
      <c r="I250">
        <f t="shared" si="34"/>
        <v>617.58199026824525</v>
      </c>
      <c r="J250">
        <f t="shared" si="35"/>
        <v>1398.6892452961729</v>
      </c>
    </row>
    <row r="251" spans="1:13" x14ac:dyDescent="0.25">
      <c r="A251" t="s">
        <v>10</v>
      </c>
      <c r="B251" t="s">
        <v>49</v>
      </c>
      <c r="C251" t="s">
        <v>50</v>
      </c>
      <c r="D251">
        <v>414</v>
      </c>
      <c r="E251" t="s">
        <v>8</v>
      </c>
      <c r="F251">
        <v>0.39861123574819202</v>
      </c>
      <c r="G251">
        <f t="shared" si="32"/>
        <v>0.39861123574819202</v>
      </c>
      <c r="H251">
        <f t="shared" si="33"/>
        <v>2.0415268998429594E-3</v>
      </c>
      <c r="I251">
        <f t="shared" si="34"/>
        <v>195.25152266122697</v>
      </c>
      <c r="J251">
        <f t="shared" si="35"/>
        <v>489.82945072970779</v>
      </c>
    </row>
    <row r="252" spans="1:13" x14ac:dyDescent="0.25">
      <c r="A252" t="s">
        <v>11</v>
      </c>
      <c r="B252" t="s">
        <v>49</v>
      </c>
      <c r="C252" t="s">
        <v>50</v>
      </c>
      <c r="D252">
        <v>395</v>
      </c>
      <c r="E252" t="s">
        <v>8</v>
      </c>
      <c r="F252">
        <v>0.50791586487461804</v>
      </c>
      <c r="G252">
        <f t="shared" si="32"/>
        <v>0.50791586487461804</v>
      </c>
      <c r="H252">
        <f t="shared" si="33"/>
        <v>1.8880953542205314E-3</v>
      </c>
      <c r="I252">
        <f t="shared" si="34"/>
        <v>269.00964707066004</v>
      </c>
      <c r="J252">
        <f t="shared" si="35"/>
        <v>529.63426755150999</v>
      </c>
    </row>
    <row r="253" spans="1:13" x14ac:dyDescent="0.25">
      <c r="A253" t="s">
        <v>12</v>
      </c>
      <c r="B253" t="s">
        <v>49</v>
      </c>
      <c r="C253" t="s">
        <v>50</v>
      </c>
      <c r="D253">
        <v>415</v>
      </c>
      <c r="E253" t="s">
        <v>8</v>
      </c>
      <c r="F253">
        <v>0.496562968400795</v>
      </c>
      <c r="G253">
        <f t="shared" si="32"/>
        <v>0.496562968400795</v>
      </c>
      <c r="H253">
        <f t="shared" si="33"/>
        <v>1.8242741365931986E-3</v>
      </c>
      <c r="I253">
        <f t="shared" si="34"/>
        <v>272.19755980760544</v>
      </c>
      <c r="J253">
        <f t="shared" si="35"/>
        <v>548.16322828951752</v>
      </c>
    </row>
    <row r="254" spans="1:13" x14ac:dyDescent="0.25">
      <c r="A254" t="s">
        <v>13</v>
      </c>
      <c r="B254" t="s">
        <v>49</v>
      </c>
      <c r="C254" t="s">
        <v>50</v>
      </c>
      <c r="D254">
        <v>1006</v>
      </c>
      <c r="E254" t="s">
        <v>8</v>
      </c>
      <c r="F254">
        <v>0.36202184636033302</v>
      </c>
      <c r="G254">
        <f t="shared" si="32"/>
        <v>0.36202184636033302</v>
      </c>
      <c r="H254">
        <f t="shared" si="33"/>
        <v>8.6547826967913887E-4</v>
      </c>
      <c r="I254">
        <f t="shared" si="34"/>
        <v>418.29108718644824</v>
      </c>
      <c r="J254">
        <f t="shared" si="35"/>
        <v>1155.4305116993091</v>
      </c>
    </row>
    <row r="255" spans="1:13" x14ac:dyDescent="0.25">
      <c r="A255" t="s">
        <v>14</v>
      </c>
      <c r="B255" t="s">
        <v>49</v>
      </c>
      <c r="C255" t="s">
        <v>50</v>
      </c>
      <c r="D255">
        <v>246</v>
      </c>
      <c r="E255" t="s">
        <v>8</v>
      </c>
      <c r="F255">
        <v>0.45739354546844602</v>
      </c>
      <c r="G255">
        <f t="shared" si="32"/>
        <v>0.45739354546844602</v>
      </c>
      <c r="H255">
        <f t="shared" si="33"/>
        <v>3.2409473137860845E-3</v>
      </c>
      <c r="I255">
        <f t="shared" si="34"/>
        <v>141.12958378645084</v>
      </c>
      <c r="J255">
        <f t="shared" si="35"/>
        <v>308.55176069857089</v>
      </c>
    </row>
    <row r="256" spans="1:13" x14ac:dyDescent="0.25">
      <c r="A256" t="s">
        <v>15</v>
      </c>
      <c r="B256" t="s">
        <v>49</v>
      </c>
      <c r="C256" t="s">
        <v>50</v>
      </c>
      <c r="D256">
        <v>246</v>
      </c>
      <c r="E256" t="s">
        <v>8</v>
      </c>
      <c r="F256">
        <v>0.54479759337536404</v>
      </c>
      <c r="G256">
        <f t="shared" si="32"/>
        <v>0.54479759337536404</v>
      </c>
      <c r="H256">
        <f t="shared" si="33"/>
        <v>2.8819491075918503E-3</v>
      </c>
      <c r="I256">
        <f t="shared" si="34"/>
        <v>189.03789520093073</v>
      </c>
      <c r="J256">
        <f t="shared" si="35"/>
        <v>346.98739036221133</v>
      </c>
    </row>
    <row r="257" spans="1:13" x14ac:dyDescent="0.25">
      <c r="A257" t="s">
        <v>16</v>
      </c>
      <c r="B257" t="s">
        <v>49</v>
      </c>
      <c r="C257" t="s">
        <v>50</v>
      </c>
      <c r="D257">
        <v>246</v>
      </c>
      <c r="E257" t="s">
        <v>8</v>
      </c>
      <c r="F257">
        <v>0.110479269586479</v>
      </c>
      <c r="G257">
        <f t="shared" si="32"/>
        <v>0.110479269586479</v>
      </c>
      <c r="H257">
        <f t="shared" si="33"/>
        <v>4.0483374220968774E-3</v>
      </c>
      <c r="I257">
        <f t="shared" si="34"/>
        <v>27.290034912469114</v>
      </c>
      <c r="J257">
        <f t="shared" si="35"/>
        <v>247.01498312411911</v>
      </c>
    </row>
    <row r="258" spans="1:13" x14ac:dyDescent="0.25">
      <c r="A258" t="s">
        <v>17</v>
      </c>
      <c r="B258" t="s">
        <v>49</v>
      </c>
      <c r="C258" t="s">
        <v>50</v>
      </c>
      <c r="D258">
        <v>246</v>
      </c>
      <c r="E258" t="s">
        <v>8</v>
      </c>
      <c r="F258">
        <v>0.44137443004725302</v>
      </c>
      <c r="G258">
        <f t="shared" si="32"/>
        <v>0.44137443004725302</v>
      </c>
      <c r="H258">
        <f t="shared" si="33"/>
        <v>3.2999533299199286E-3</v>
      </c>
      <c r="I258">
        <f t="shared" si="34"/>
        <v>133.75171886384305</v>
      </c>
      <c r="J258">
        <f t="shared" si="35"/>
        <v>303.03458868136914</v>
      </c>
    </row>
    <row r="259" spans="1:13" x14ac:dyDescent="0.25">
      <c r="A259" t="s">
        <v>18</v>
      </c>
      <c r="B259" t="s">
        <v>49</v>
      </c>
      <c r="C259" t="s">
        <v>50</v>
      </c>
      <c r="D259">
        <v>246</v>
      </c>
      <c r="E259" t="s">
        <v>8</v>
      </c>
      <c r="F259">
        <v>0.19148972733958999</v>
      </c>
      <c r="G259">
        <f t="shared" ref="G259:G322" si="42">AVERAGE(F259)</f>
        <v>0.19148972733958999</v>
      </c>
      <c r="H259">
        <f t="shared" ref="H259:H322" si="43">(1-G259^2)/(D259-2)</f>
        <v>3.9480806734565957E-3</v>
      </c>
      <c r="I259">
        <f t="shared" ref="I259:I322" si="44">G259/H259</f>
        <v>48.501979361008921</v>
      </c>
      <c r="J259">
        <f t="shared" ref="J259:J322" si="45">1/H259</f>
        <v>253.28763080327005</v>
      </c>
    </row>
    <row r="260" spans="1:13" x14ac:dyDescent="0.25">
      <c r="A260" t="s">
        <v>19</v>
      </c>
      <c r="B260" t="s">
        <v>49</v>
      </c>
      <c r="C260" t="s">
        <v>50</v>
      </c>
      <c r="D260">
        <v>266</v>
      </c>
      <c r="E260" t="s">
        <v>8</v>
      </c>
      <c r="F260">
        <v>-1.8490193830289998E-2</v>
      </c>
      <c r="G260">
        <f t="shared" si="42"/>
        <v>-1.8490193830289998E-2</v>
      </c>
      <c r="H260">
        <f t="shared" si="43"/>
        <v>3.7865837603489332E-3</v>
      </c>
      <c r="I260">
        <f t="shared" si="44"/>
        <v>-4.8830806342934636</v>
      </c>
      <c r="J260">
        <f t="shared" si="45"/>
        <v>264.09028910741699</v>
      </c>
    </row>
    <row r="261" spans="1:13" x14ac:dyDescent="0.25">
      <c r="A261" t="s">
        <v>20</v>
      </c>
      <c r="B261" t="s">
        <v>49</v>
      </c>
      <c r="C261" t="s">
        <v>50</v>
      </c>
      <c r="D261">
        <v>245</v>
      </c>
      <c r="E261" t="s">
        <v>8</v>
      </c>
      <c r="F261">
        <v>0.46968473214746997</v>
      </c>
      <c r="G261">
        <f t="shared" si="42"/>
        <v>0.46968473214746997</v>
      </c>
      <c r="H261">
        <f t="shared" si="43"/>
        <v>3.2073919851339891E-3</v>
      </c>
      <c r="I261">
        <f t="shared" si="44"/>
        <v>146.43820721770896</v>
      </c>
      <c r="J261">
        <f t="shared" si="45"/>
        <v>311.77979013320532</v>
      </c>
    </row>
    <row r="262" spans="1:13" x14ac:dyDescent="0.25">
      <c r="A262" t="s">
        <v>21</v>
      </c>
      <c r="B262" t="s">
        <v>49</v>
      </c>
      <c r="C262" t="s">
        <v>50</v>
      </c>
      <c r="D262">
        <v>394</v>
      </c>
      <c r="E262" t="s">
        <v>8</v>
      </c>
      <c r="F262">
        <v>0.50660681925096296</v>
      </c>
      <c r="G262">
        <f t="shared" si="42"/>
        <v>0.50660681925096296</v>
      </c>
      <c r="H262">
        <f t="shared" si="43"/>
        <v>1.8962998231847503E-3</v>
      </c>
      <c r="I262">
        <f t="shared" si="44"/>
        <v>267.15544296161966</v>
      </c>
      <c r="J262">
        <f t="shared" si="45"/>
        <v>527.34276920436821</v>
      </c>
    </row>
    <row r="263" spans="1:13" x14ac:dyDescent="0.25">
      <c r="A263" t="s">
        <v>22</v>
      </c>
      <c r="B263" t="s">
        <v>49</v>
      </c>
      <c r="C263" t="s">
        <v>50</v>
      </c>
      <c r="D263">
        <v>398</v>
      </c>
      <c r="E263" t="s">
        <v>8</v>
      </c>
      <c r="F263">
        <v>0.456216086259709</v>
      </c>
      <c r="G263">
        <f t="shared" si="42"/>
        <v>0.456216086259709</v>
      </c>
      <c r="H263">
        <f t="shared" si="43"/>
        <v>1.9996638450451359E-3</v>
      </c>
      <c r="I263">
        <f t="shared" si="44"/>
        <v>228.14638939947</v>
      </c>
      <c r="J263">
        <f t="shared" si="45"/>
        <v>500.08405286610974</v>
      </c>
    </row>
    <row r="264" spans="1:13" x14ac:dyDescent="0.25">
      <c r="A264" t="s">
        <v>23</v>
      </c>
      <c r="B264" t="s">
        <v>49</v>
      </c>
      <c r="C264" t="s">
        <v>50</v>
      </c>
      <c r="D264">
        <v>1127</v>
      </c>
      <c r="E264" t="s">
        <v>8</v>
      </c>
      <c r="F264">
        <v>0.218704361654043</v>
      </c>
      <c r="G264">
        <f t="shared" si="42"/>
        <v>0.218704361654043</v>
      </c>
      <c r="H264">
        <f t="shared" si="43"/>
        <v>8.4637191306088672E-4</v>
      </c>
      <c r="I264">
        <f t="shared" si="44"/>
        <v>258.40219681097773</v>
      </c>
      <c r="J264">
        <f t="shared" si="45"/>
        <v>1181.5136875035473</v>
      </c>
    </row>
    <row r="265" spans="1:13" x14ac:dyDescent="0.25">
      <c r="A265" t="s">
        <v>24</v>
      </c>
      <c r="B265" t="s">
        <v>49</v>
      </c>
      <c r="C265" t="s">
        <v>50</v>
      </c>
      <c r="D265">
        <v>1137</v>
      </c>
      <c r="E265" t="s">
        <v>8</v>
      </c>
      <c r="F265">
        <v>0.41487266970940101</v>
      </c>
      <c r="G265">
        <f t="shared" si="42"/>
        <v>0.41487266970940101</v>
      </c>
      <c r="H265">
        <f t="shared" si="43"/>
        <v>7.2941028011294651E-4</v>
      </c>
      <c r="I265">
        <f t="shared" si="44"/>
        <v>568.77820483303242</v>
      </c>
      <c r="J265">
        <f t="shared" si="45"/>
        <v>1370.9705323116007</v>
      </c>
    </row>
    <row r="266" spans="1:13" x14ac:dyDescent="0.25">
      <c r="A266" t="s">
        <v>25</v>
      </c>
      <c r="B266" t="s">
        <v>49</v>
      </c>
      <c r="C266" t="s">
        <v>50</v>
      </c>
      <c r="D266">
        <v>415</v>
      </c>
      <c r="E266" t="s">
        <v>8</v>
      </c>
      <c r="F266">
        <v>0.28665472867562802</v>
      </c>
      <c r="G266">
        <f t="shared" si="42"/>
        <v>0.28665472867562802</v>
      </c>
      <c r="H266">
        <f t="shared" si="43"/>
        <v>2.2223464080578744E-3</v>
      </c>
      <c r="I266">
        <f t="shared" si="44"/>
        <v>128.98741961931029</v>
      </c>
      <c r="J266">
        <f t="shared" si="45"/>
        <v>449.97485377354275</v>
      </c>
    </row>
    <row r="267" spans="1:13" x14ac:dyDescent="0.25">
      <c r="A267" t="s">
        <v>26</v>
      </c>
      <c r="B267" t="s">
        <v>49</v>
      </c>
      <c r="C267" t="s">
        <v>50</v>
      </c>
      <c r="D267">
        <v>397</v>
      </c>
      <c r="E267" t="s">
        <v>8</v>
      </c>
      <c r="F267">
        <v>0.53681750838150899</v>
      </c>
      <c r="G267">
        <f t="shared" si="42"/>
        <v>0.53681750838150899</v>
      </c>
      <c r="H267">
        <f t="shared" si="43"/>
        <v>1.8020935764432114E-3</v>
      </c>
      <c r="I267">
        <f t="shared" si="44"/>
        <v>297.88547908873005</v>
      </c>
      <c r="J267">
        <f t="shared" si="45"/>
        <v>554.91014066744424</v>
      </c>
    </row>
    <row r="268" spans="1:13" x14ac:dyDescent="0.25">
      <c r="A268" t="s">
        <v>6</v>
      </c>
      <c r="B268" t="s">
        <v>7</v>
      </c>
      <c r="C268" t="s">
        <v>7</v>
      </c>
      <c r="D268">
        <v>1142</v>
      </c>
      <c r="E268" t="s">
        <v>51</v>
      </c>
      <c r="F268">
        <v>0.59946439801102502</v>
      </c>
      <c r="G268">
        <f t="shared" si="42"/>
        <v>0.59946439801102502</v>
      </c>
      <c r="H268">
        <f t="shared" si="43"/>
        <v>5.6196704869936791E-4</v>
      </c>
      <c r="I268">
        <f t="shared" si="44"/>
        <v>1066.7251743646573</v>
      </c>
      <c r="J268">
        <f t="shared" si="45"/>
        <v>1779.4637644937147</v>
      </c>
      <c r="K268">
        <f t="shared" ref="K268:L268" si="46">SUM(I268:I286)</f>
        <v>3634.5957494285012</v>
      </c>
      <c r="L268">
        <f t="shared" si="46"/>
        <v>11622.053723198835</v>
      </c>
      <c r="M268">
        <f t="shared" ref="M268" si="47">K268/L268</f>
        <v>0.31273265775509779</v>
      </c>
    </row>
    <row r="269" spans="1:13" x14ac:dyDescent="0.25">
      <c r="A269" t="s">
        <v>9</v>
      </c>
      <c r="B269" t="s">
        <v>7</v>
      </c>
      <c r="C269" t="s">
        <v>7</v>
      </c>
      <c r="D269">
        <v>1128</v>
      </c>
      <c r="E269" t="s">
        <v>51</v>
      </c>
      <c r="F269">
        <v>0.42862022686968698</v>
      </c>
      <c r="G269">
        <f t="shared" si="42"/>
        <v>0.42862022686968698</v>
      </c>
      <c r="H269">
        <f t="shared" si="43"/>
        <v>7.2494200809784912E-4</v>
      </c>
      <c r="I269">
        <f t="shared" si="44"/>
        <v>591.24760612828766</v>
      </c>
      <c r="J269">
        <f t="shared" si="45"/>
        <v>1379.4206830748658</v>
      </c>
    </row>
    <row r="270" spans="1:13" x14ac:dyDescent="0.25">
      <c r="A270" t="s">
        <v>10</v>
      </c>
      <c r="B270" t="s">
        <v>7</v>
      </c>
      <c r="C270" t="s">
        <v>7</v>
      </c>
      <c r="D270">
        <v>414</v>
      </c>
      <c r="E270" t="s">
        <v>51</v>
      </c>
      <c r="F270">
        <v>0.171676645751314</v>
      </c>
      <c r="G270">
        <f t="shared" si="42"/>
        <v>0.171676645751314</v>
      </c>
      <c r="H270">
        <f t="shared" si="43"/>
        <v>2.3556483720960628E-3</v>
      </c>
      <c r="I270">
        <f t="shared" si="44"/>
        <v>72.878723235996219</v>
      </c>
      <c r="J270">
        <f t="shared" si="45"/>
        <v>424.51157475179417</v>
      </c>
    </row>
    <row r="271" spans="1:13" x14ac:dyDescent="0.25">
      <c r="A271" t="s">
        <v>11</v>
      </c>
      <c r="B271" t="s">
        <v>7</v>
      </c>
      <c r="C271" t="s">
        <v>7</v>
      </c>
      <c r="D271">
        <v>395</v>
      </c>
      <c r="E271" t="s">
        <v>51</v>
      </c>
      <c r="F271">
        <v>0.423327465158648</v>
      </c>
      <c r="G271">
        <f t="shared" si="42"/>
        <v>0.423327465158648</v>
      </c>
      <c r="H271">
        <f t="shared" si="43"/>
        <v>2.0885339878940297E-3</v>
      </c>
      <c r="I271">
        <f t="shared" si="44"/>
        <v>202.6912023517078</v>
      </c>
      <c r="J271">
        <f t="shared" si="45"/>
        <v>478.80475290150707</v>
      </c>
    </row>
    <row r="272" spans="1:13" x14ac:dyDescent="0.25">
      <c r="A272" t="s">
        <v>12</v>
      </c>
      <c r="B272" t="s">
        <v>7</v>
      </c>
      <c r="C272" t="s">
        <v>7</v>
      </c>
      <c r="D272">
        <v>415</v>
      </c>
      <c r="E272" t="s">
        <v>51</v>
      </c>
      <c r="F272">
        <v>0.32706957815255699</v>
      </c>
      <c r="G272">
        <f t="shared" si="42"/>
        <v>0.32706957815255699</v>
      </c>
      <c r="H272">
        <f t="shared" si="43"/>
        <v>2.1622893245692699E-3</v>
      </c>
      <c r="I272">
        <f t="shared" si="44"/>
        <v>151.2607838535713</v>
      </c>
      <c r="J272">
        <f t="shared" si="45"/>
        <v>462.47280076601265</v>
      </c>
    </row>
    <row r="273" spans="1:13" x14ac:dyDescent="0.25">
      <c r="A273" t="s">
        <v>13</v>
      </c>
      <c r="B273" t="s">
        <v>7</v>
      </c>
      <c r="C273" t="s">
        <v>7</v>
      </c>
      <c r="D273">
        <v>1006</v>
      </c>
      <c r="E273" t="s">
        <v>51</v>
      </c>
      <c r="F273">
        <v>3.77038359895326E-2</v>
      </c>
      <c r="G273">
        <f t="shared" si="42"/>
        <v>3.77038359895326E-2</v>
      </c>
      <c r="H273">
        <f t="shared" si="43"/>
        <v>9.9460002066899841E-4</v>
      </c>
      <c r="I273">
        <f t="shared" si="44"/>
        <v>37.908541329178583</v>
      </c>
      <c r="J273">
        <f t="shared" si="45"/>
        <v>1005.4292974248777</v>
      </c>
    </row>
    <row r="274" spans="1:13" x14ac:dyDescent="0.25">
      <c r="A274" t="s">
        <v>14</v>
      </c>
      <c r="B274" t="s">
        <v>7</v>
      </c>
      <c r="C274" t="s">
        <v>7</v>
      </c>
      <c r="D274">
        <v>246</v>
      </c>
      <c r="E274" t="s">
        <v>51</v>
      </c>
      <c r="F274">
        <v>0.15373189990963801</v>
      </c>
      <c r="G274">
        <f t="shared" si="42"/>
        <v>0.15373189990963801</v>
      </c>
      <c r="H274">
        <f t="shared" si="43"/>
        <v>4.0015020612712013E-3</v>
      </c>
      <c r="I274">
        <f t="shared" si="44"/>
        <v>38.418548224063713</v>
      </c>
      <c r="J274">
        <f t="shared" si="45"/>
        <v>249.90615641025533</v>
      </c>
    </row>
    <row r="275" spans="1:13" x14ac:dyDescent="0.25">
      <c r="A275" t="s">
        <v>15</v>
      </c>
      <c r="B275" t="s">
        <v>7</v>
      </c>
      <c r="C275" t="s">
        <v>7</v>
      </c>
      <c r="D275">
        <v>246</v>
      </c>
      <c r="E275" t="s">
        <v>51</v>
      </c>
      <c r="F275">
        <v>0.22530183710978999</v>
      </c>
      <c r="G275">
        <f t="shared" si="42"/>
        <v>0.22530183710978999</v>
      </c>
      <c r="H275">
        <f t="shared" si="43"/>
        <v>3.8903241073563674E-3</v>
      </c>
      <c r="I275">
        <f t="shared" si="44"/>
        <v>57.913384821526272</v>
      </c>
      <c r="J275">
        <f t="shared" si="45"/>
        <v>257.04799199353607</v>
      </c>
    </row>
    <row r="276" spans="1:13" x14ac:dyDescent="0.25">
      <c r="A276" t="s">
        <v>16</v>
      </c>
      <c r="B276" t="s">
        <v>7</v>
      </c>
      <c r="C276" t="s">
        <v>7</v>
      </c>
      <c r="D276">
        <v>246</v>
      </c>
      <c r="E276" t="s">
        <v>51</v>
      </c>
      <c r="F276">
        <v>5.14730632545852E-2</v>
      </c>
      <c r="G276">
        <f t="shared" si="42"/>
        <v>5.14730632545852E-2</v>
      </c>
      <c r="H276">
        <f t="shared" si="43"/>
        <v>4.0875021465540552E-3</v>
      </c>
      <c r="I276">
        <f t="shared" si="44"/>
        <v>12.592791736630467</v>
      </c>
      <c r="J276">
        <f t="shared" si="45"/>
        <v>244.6481895656114</v>
      </c>
    </row>
    <row r="277" spans="1:13" x14ac:dyDescent="0.25">
      <c r="A277" t="s">
        <v>17</v>
      </c>
      <c r="B277" t="s">
        <v>7</v>
      </c>
      <c r="C277" t="s">
        <v>7</v>
      </c>
      <c r="D277">
        <v>246</v>
      </c>
      <c r="E277" t="s">
        <v>51</v>
      </c>
      <c r="F277">
        <v>0.18045796699132499</v>
      </c>
      <c r="G277">
        <f t="shared" si="42"/>
        <v>0.18045796699132499</v>
      </c>
      <c r="H277">
        <f t="shared" si="43"/>
        <v>3.9648972219235978E-3</v>
      </c>
      <c r="I277">
        <f t="shared" si="44"/>
        <v>45.513907899931525</v>
      </c>
      <c r="J277">
        <f t="shared" si="45"/>
        <v>252.21334728945206</v>
      </c>
    </row>
    <row r="278" spans="1:13" x14ac:dyDescent="0.25">
      <c r="A278" t="s">
        <v>18</v>
      </c>
      <c r="B278" t="s">
        <v>7</v>
      </c>
      <c r="C278" t="s">
        <v>7</v>
      </c>
      <c r="D278">
        <v>246</v>
      </c>
      <c r="E278" t="s">
        <v>51</v>
      </c>
      <c r="F278">
        <v>0.18782808825108899</v>
      </c>
      <c r="G278">
        <f t="shared" si="42"/>
        <v>0.18782808825108899</v>
      </c>
      <c r="H278">
        <f t="shared" si="43"/>
        <v>3.9537729887866441E-3</v>
      </c>
      <c r="I278">
        <f t="shared" si="44"/>
        <v>47.506037595934593</v>
      </c>
      <c r="J278">
        <f t="shared" si="45"/>
        <v>252.92296822202874</v>
      </c>
    </row>
    <row r="279" spans="1:13" x14ac:dyDescent="0.25">
      <c r="A279" t="s">
        <v>19</v>
      </c>
      <c r="B279" t="s">
        <v>7</v>
      </c>
      <c r="C279" t="s">
        <v>7</v>
      </c>
      <c r="D279">
        <v>266</v>
      </c>
      <c r="E279" t="s">
        <v>51</v>
      </c>
      <c r="F279">
        <v>-0.17346562405774599</v>
      </c>
      <c r="G279">
        <f t="shared" si="42"/>
        <v>-0.17346562405774599</v>
      </c>
      <c r="H279">
        <f t="shared" si="43"/>
        <v>3.6739002926903666E-3</v>
      </c>
      <c r="I279">
        <f t="shared" si="44"/>
        <v>-47.215659173678489</v>
      </c>
      <c r="J279">
        <f t="shared" si="45"/>
        <v>272.19029378385994</v>
      </c>
    </row>
    <row r="280" spans="1:13" x14ac:dyDescent="0.25">
      <c r="A280" t="s">
        <v>20</v>
      </c>
      <c r="B280" t="s">
        <v>7</v>
      </c>
      <c r="C280" t="s">
        <v>7</v>
      </c>
      <c r="D280">
        <v>245</v>
      </c>
      <c r="E280" t="s">
        <v>51</v>
      </c>
      <c r="F280">
        <v>0.154851979053824</v>
      </c>
      <c r="G280">
        <f t="shared" si="42"/>
        <v>0.154851979053824</v>
      </c>
      <c r="H280">
        <f t="shared" si="43"/>
        <v>4.0165467678317454E-3</v>
      </c>
      <c r="I280">
        <f t="shared" si="44"/>
        <v>38.553510765522056</v>
      </c>
      <c r="J280">
        <f t="shared" si="45"/>
        <v>248.97008744151398</v>
      </c>
    </row>
    <row r="281" spans="1:13" x14ac:dyDescent="0.25">
      <c r="A281" t="s">
        <v>21</v>
      </c>
      <c r="B281" t="s">
        <v>7</v>
      </c>
      <c r="C281" t="s">
        <v>7</v>
      </c>
      <c r="D281">
        <v>394</v>
      </c>
      <c r="E281" t="s">
        <v>51</v>
      </c>
      <c r="F281">
        <v>0.35517231104488201</v>
      </c>
      <c r="G281">
        <f t="shared" si="42"/>
        <v>0.35517231104488201</v>
      </c>
      <c r="H281">
        <f t="shared" si="43"/>
        <v>2.2292158914975447E-3</v>
      </c>
      <c r="I281">
        <f t="shared" si="44"/>
        <v>159.32611659532179</v>
      </c>
      <c r="J281">
        <f t="shared" si="45"/>
        <v>448.58822504096679</v>
      </c>
    </row>
    <row r="282" spans="1:13" x14ac:dyDescent="0.25">
      <c r="A282" t="s">
        <v>22</v>
      </c>
      <c r="B282" t="s">
        <v>7</v>
      </c>
      <c r="C282" t="s">
        <v>7</v>
      </c>
      <c r="D282">
        <v>398</v>
      </c>
      <c r="E282" t="s">
        <v>51</v>
      </c>
      <c r="F282">
        <v>0.35158420485909703</v>
      </c>
      <c r="G282">
        <f t="shared" si="42"/>
        <v>0.35158420485909703</v>
      </c>
      <c r="H282">
        <f t="shared" si="43"/>
        <v>2.2131023911454457E-3</v>
      </c>
      <c r="I282">
        <f t="shared" si="44"/>
        <v>158.86486150201389</v>
      </c>
      <c r="J282">
        <f t="shared" si="45"/>
        <v>451.85437601123613</v>
      </c>
    </row>
    <row r="283" spans="1:13" x14ac:dyDescent="0.25">
      <c r="A283" t="s">
        <v>23</v>
      </c>
      <c r="B283" t="s">
        <v>7</v>
      </c>
      <c r="C283" t="s">
        <v>7</v>
      </c>
      <c r="D283">
        <v>1127</v>
      </c>
      <c r="E283" t="s">
        <v>51</v>
      </c>
      <c r="F283">
        <v>0.128540266734436</v>
      </c>
      <c r="G283">
        <f t="shared" si="42"/>
        <v>0.128540266734436</v>
      </c>
      <c r="H283">
        <f t="shared" si="43"/>
        <v>8.7420213318030221E-4</v>
      </c>
      <c r="I283">
        <f t="shared" si="44"/>
        <v>147.0372375629114</v>
      </c>
      <c r="J283">
        <f t="shared" si="45"/>
        <v>1143.9002057362313</v>
      </c>
    </row>
    <row r="284" spans="1:13" x14ac:dyDescent="0.25">
      <c r="A284" t="s">
        <v>24</v>
      </c>
      <c r="B284" t="s">
        <v>7</v>
      </c>
      <c r="C284" t="s">
        <v>7</v>
      </c>
      <c r="D284">
        <v>1137</v>
      </c>
      <c r="E284" t="s">
        <v>51</v>
      </c>
      <c r="F284">
        <v>0.35394947214415601</v>
      </c>
      <c r="G284">
        <f t="shared" si="42"/>
        <v>0.35394947214415601</v>
      </c>
      <c r="H284">
        <f t="shared" si="43"/>
        <v>7.7067821248358889E-4</v>
      </c>
      <c r="I284">
        <f t="shared" si="44"/>
        <v>459.27011612734952</v>
      </c>
      <c r="J284">
        <f t="shared" si="45"/>
        <v>1297.5584151748606</v>
      </c>
    </row>
    <row r="285" spans="1:13" x14ac:dyDescent="0.25">
      <c r="A285" t="s">
        <v>25</v>
      </c>
      <c r="B285" t="s">
        <v>7</v>
      </c>
      <c r="C285" t="s">
        <v>7</v>
      </c>
      <c r="D285">
        <v>415</v>
      </c>
      <c r="E285" t="s">
        <v>51</v>
      </c>
      <c r="F285">
        <v>0.33530635301859202</v>
      </c>
      <c r="G285">
        <f t="shared" si="42"/>
        <v>0.33530635301859202</v>
      </c>
      <c r="H285">
        <f t="shared" si="43"/>
        <v>2.1490790547829815E-3</v>
      </c>
      <c r="I285">
        <f t="shared" si="44"/>
        <v>156.02327530592027</v>
      </c>
      <c r="J285">
        <f t="shared" si="45"/>
        <v>465.31559542884389</v>
      </c>
    </row>
    <row r="286" spans="1:13" x14ac:dyDescent="0.25">
      <c r="A286" t="s">
        <v>26</v>
      </c>
      <c r="B286" t="s">
        <v>7</v>
      </c>
      <c r="C286" t="s">
        <v>7</v>
      </c>
      <c r="D286">
        <v>397</v>
      </c>
      <c r="E286" t="s">
        <v>51</v>
      </c>
      <c r="F286">
        <v>0.46973786397515199</v>
      </c>
      <c r="G286">
        <f t="shared" si="42"/>
        <v>0.46973786397515199</v>
      </c>
      <c r="H286">
        <f t="shared" si="43"/>
        <v>1.9730287067039535E-3</v>
      </c>
      <c r="I286">
        <f t="shared" si="44"/>
        <v>238.07958920165606</v>
      </c>
      <c r="J286">
        <f t="shared" si="45"/>
        <v>506.83499768766757</v>
      </c>
    </row>
    <row r="287" spans="1:13" x14ac:dyDescent="0.25">
      <c r="A287" t="s">
        <v>6</v>
      </c>
      <c r="B287" t="s">
        <v>27</v>
      </c>
      <c r="C287" t="s">
        <v>27</v>
      </c>
      <c r="D287">
        <v>1142</v>
      </c>
      <c r="E287" t="s">
        <v>51</v>
      </c>
      <c r="F287">
        <v>0.351033642445369</v>
      </c>
      <c r="G287">
        <f t="shared" si="42"/>
        <v>0.351033642445369</v>
      </c>
      <c r="H287">
        <f t="shared" si="43"/>
        <v>7.6910121216801472E-4</v>
      </c>
      <c r="I287">
        <f t="shared" si="44"/>
        <v>456.42060744624547</v>
      </c>
      <c r="J287">
        <f t="shared" si="45"/>
        <v>1300.2189883189835</v>
      </c>
      <c r="K287">
        <f t="shared" ref="K287:L287" si="48">SUM(I287:I305)</f>
        <v>3438.1907103411568</v>
      </c>
      <c r="L287">
        <f t="shared" si="48"/>
        <v>11388.850978568831</v>
      </c>
      <c r="M287">
        <f t="shared" ref="M287" si="49">K287/L287</f>
        <v>0.30189092093759345</v>
      </c>
    </row>
    <row r="288" spans="1:13" x14ac:dyDescent="0.25">
      <c r="A288" t="s">
        <v>9</v>
      </c>
      <c r="B288" t="s">
        <v>27</v>
      </c>
      <c r="C288" t="s">
        <v>27</v>
      </c>
      <c r="D288">
        <v>1128</v>
      </c>
      <c r="E288" t="s">
        <v>51</v>
      </c>
      <c r="F288">
        <v>0.39551910377719501</v>
      </c>
      <c r="G288">
        <f t="shared" si="42"/>
        <v>0.39551910377719501</v>
      </c>
      <c r="H288">
        <f t="shared" si="43"/>
        <v>7.4916930599225979E-4</v>
      </c>
      <c r="I288">
        <f t="shared" si="44"/>
        <v>527.94355109535331</v>
      </c>
      <c r="J288">
        <f t="shared" si="45"/>
        <v>1334.8117601741837</v>
      </c>
    </row>
    <row r="289" spans="1:10" x14ac:dyDescent="0.25">
      <c r="A289" t="s">
        <v>10</v>
      </c>
      <c r="B289" t="s">
        <v>27</v>
      </c>
      <c r="C289" t="s">
        <v>27</v>
      </c>
      <c r="D289">
        <v>414</v>
      </c>
      <c r="E289" t="s">
        <v>51</v>
      </c>
      <c r="F289">
        <v>0.33812685228481199</v>
      </c>
      <c r="G289">
        <f t="shared" si="42"/>
        <v>0.33812685228481199</v>
      </c>
      <c r="H289">
        <f t="shared" si="43"/>
        <v>2.1496850285533131E-3</v>
      </c>
      <c r="I289">
        <f t="shared" si="44"/>
        <v>157.29134631056314</v>
      </c>
      <c r="J289">
        <f t="shared" si="45"/>
        <v>465.18442781963097</v>
      </c>
    </row>
    <row r="290" spans="1:10" x14ac:dyDescent="0.25">
      <c r="A290" t="s">
        <v>11</v>
      </c>
      <c r="B290" t="s">
        <v>27</v>
      </c>
      <c r="C290" t="s">
        <v>27</v>
      </c>
      <c r="D290">
        <v>395</v>
      </c>
      <c r="E290" t="s">
        <v>51</v>
      </c>
      <c r="F290">
        <v>0.39495904802234</v>
      </c>
      <c r="G290">
        <f t="shared" si="42"/>
        <v>0.39495904802234</v>
      </c>
      <c r="H290">
        <f t="shared" si="43"/>
        <v>2.1476014004714679E-3</v>
      </c>
      <c r="I290">
        <f t="shared" si="44"/>
        <v>183.90705460316505</v>
      </c>
      <c r="J290">
        <f t="shared" si="45"/>
        <v>465.6357552106586</v>
      </c>
    </row>
    <row r="291" spans="1:10" x14ac:dyDescent="0.25">
      <c r="A291" t="s">
        <v>12</v>
      </c>
      <c r="B291" t="s">
        <v>27</v>
      </c>
      <c r="C291" t="s">
        <v>27</v>
      </c>
      <c r="D291">
        <v>415</v>
      </c>
      <c r="E291" t="s">
        <v>51</v>
      </c>
      <c r="F291">
        <v>0.29393643064221098</v>
      </c>
      <c r="G291">
        <f t="shared" si="42"/>
        <v>0.29393643064221098</v>
      </c>
      <c r="H291">
        <f t="shared" si="43"/>
        <v>2.2121098662017356E-3</v>
      </c>
      <c r="I291">
        <f t="shared" si="44"/>
        <v>132.87605427433374</v>
      </c>
      <c r="J291">
        <f t="shared" si="45"/>
        <v>452.05711311121831</v>
      </c>
    </row>
    <row r="292" spans="1:10" x14ac:dyDescent="0.25">
      <c r="A292" t="s">
        <v>13</v>
      </c>
      <c r="B292" t="s">
        <v>27</v>
      </c>
      <c r="C292" t="s">
        <v>27</v>
      </c>
      <c r="D292">
        <v>1006</v>
      </c>
      <c r="E292" t="s">
        <v>51</v>
      </c>
      <c r="F292">
        <v>0.404834605300739</v>
      </c>
      <c r="G292">
        <f t="shared" si="42"/>
        <v>0.404834605300739</v>
      </c>
      <c r="H292">
        <f t="shared" si="43"/>
        <v>8.3277783102688732E-4</v>
      </c>
      <c r="I292">
        <f t="shared" si="44"/>
        <v>486.12557901732663</v>
      </c>
      <c r="J292">
        <f t="shared" si="45"/>
        <v>1200.8004569080726</v>
      </c>
    </row>
    <row r="293" spans="1:10" x14ac:dyDescent="0.25">
      <c r="A293" t="s">
        <v>14</v>
      </c>
      <c r="B293" t="s">
        <v>27</v>
      </c>
      <c r="C293" t="s">
        <v>27</v>
      </c>
      <c r="D293">
        <v>246</v>
      </c>
      <c r="E293" t="s">
        <v>51</v>
      </c>
      <c r="F293">
        <v>0.116224433278663</v>
      </c>
      <c r="G293">
        <f t="shared" si="42"/>
        <v>0.116224433278663</v>
      </c>
      <c r="H293">
        <f t="shared" si="43"/>
        <v>4.0429995127420227E-3</v>
      </c>
      <c r="I293">
        <f t="shared" si="44"/>
        <v>28.74708070390982</v>
      </c>
      <c r="J293">
        <f t="shared" si="45"/>
        <v>247.34111316322793</v>
      </c>
    </row>
    <row r="294" spans="1:10" x14ac:dyDescent="0.25">
      <c r="A294" t="s">
        <v>15</v>
      </c>
      <c r="B294" t="s">
        <v>27</v>
      </c>
      <c r="C294" t="s">
        <v>27</v>
      </c>
      <c r="D294">
        <v>246</v>
      </c>
      <c r="E294" t="s">
        <v>51</v>
      </c>
      <c r="F294">
        <v>0.68467620448848199</v>
      </c>
      <c r="G294">
        <f t="shared" si="42"/>
        <v>0.68467620448848199</v>
      </c>
      <c r="H294">
        <f t="shared" si="43"/>
        <v>2.1771249795378951E-3</v>
      </c>
      <c r="I294">
        <f t="shared" si="44"/>
        <v>314.48640336385637</v>
      </c>
      <c r="J294">
        <f t="shared" si="45"/>
        <v>459.32135701839894</v>
      </c>
    </row>
    <row r="295" spans="1:10" x14ac:dyDescent="0.25">
      <c r="A295" t="s">
        <v>16</v>
      </c>
      <c r="B295" t="s">
        <v>27</v>
      </c>
      <c r="C295" t="s">
        <v>27</v>
      </c>
      <c r="D295">
        <v>246</v>
      </c>
      <c r="E295" t="s">
        <v>51</v>
      </c>
      <c r="F295">
        <v>4.5482641152119099E-2</v>
      </c>
      <c r="G295">
        <f t="shared" si="42"/>
        <v>4.5482641152119099E-2</v>
      </c>
      <c r="H295">
        <f t="shared" si="43"/>
        <v>4.0898824973517522E-3</v>
      </c>
      <c r="I295">
        <f t="shared" si="44"/>
        <v>11.120769650856634</v>
      </c>
      <c r="J295">
        <f t="shared" si="45"/>
        <v>244.5058019753653</v>
      </c>
    </row>
    <row r="296" spans="1:10" x14ac:dyDescent="0.25">
      <c r="A296" t="s">
        <v>17</v>
      </c>
      <c r="B296" t="s">
        <v>27</v>
      </c>
      <c r="C296" t="s">
        <v>27</v>
      </c>
      <c r="D296">
        <v>246</v>
      </c>
      <c r="E296" t="s">
        <v>51</v>
      </c>
      <c r="F296">
        <v>0.48732994809997499</v>
      </c>
      <c r="G296">
        <f t="shared" si="42"/>
        <v>0.48732994809997499</v>
      </c>
      <c r="H296">
        <f t="shared" si="43"/>
        <v>3.1250390232986707E-3</v>
      </c>
      <c r="I296">
        <f t="shared" si="44"/>
        <v>155.94363605276465</v>
      </c>
      <c r="J296">
        <f t="shared" si="45"/>
        <v>319.9960040641152</v>
      </c>
    </row>
    <row r="297" spans="1:10" x14ac:dyDescent="0.25">
      <c r="A297" t="s">
        <v>18</v>
      </c>
      <c r="B297" t="s">
        <v>27</v>
      </c>
      <c r="C297" t="s">
        <v>27</v>
      </c>
      <c r="D297">
        <v>246</v>
      </c>
      <c r="E297" t="s">
        <v>51</v>
      </c>
      <c r="F297">
        <v>0.25611486456730498</v>
      </c>
      <c r="G297">
        <f t="shared" si="42"/>
        <v>0.25611486456730498</v>
      </c>
      <c r="H297">
        <f t="shared" si="43"/>
        <v>3.8295294104412746E-3</v>
      </c>
      <c r="I297">
        <f t="shared" si="44"/>
        <v>66.878939190022564</v>
      </c>
      <c r="J297">
        <f t="shared" si="45"/>
        <v>261.12869045305769</v>
      </c>
    </row>
    <row r="298" spans="1:10" x14ac:dyDescent="0.25">
      <c r="A298" t="s">
        <v>19</v>
      </c>
      <c r="B298" t="s">
        <v>27</v>
      </c>
      <c r="C298" t="s">
        <v>27</v>
      </c>
      <c r="D298">
        <v>266</v>
      </c>
      <c r="E298" t="s">
        <v>51</v>
      </c>
      <c r="F298">
        <v>0.131791343677405</v>
      </c>
      <c r="G298">
        <f t="shared" si="42"/>
        <v>0.131791343677405</v>
      </c>
      <c r="H298">
        <f t="shared" si="43"/>
        <v>3.722087279286758E-3</v>
      </c>
      <c r="I298">
        <f t="shared" si="44"/>
        <v>35.40791329929786</v>
      </c>
      <c r="J298">
        <f t="shared" si="45"/>
        <v>268.66645647052752</v>
      </c>
    </row>
    <row r="299" spans="1:10" x14ac:dyDescent="0.25">
      <c r="A299" t="s">
        <v>20</v>
      </c>
      <c r="B299" t="s">
        <v>27</v>
      </c>
      <c r="C299" t="s">
        <v>27</v>
      </c>
      <c r="D299">
        <v>245</v>
      </c>
      <c r="E299" t="s">
        <v>51</v>
      </c>
      <c r="F299">
        <v>0.26609018267130902</v>
      </c>
      <c r="G299">
        <f t="shared" si="42"/>
        <v>0.26609018267130902</v>
      </c>
      <c r="H299">
        <f t="shared" si="43"/>
        <v>3.8238519122878573E-3</v>
      </c>
      <c r="I299">
        <f t="shared" si="44"/>
        <v>69.586947605432769</v>
      </c>
      <c r="J299">
        <f t="shared" si="45"/>
        <v>261.51640359986845</v>
      </c>
    </row>
    <row r="300" spans="1:10" x14ac:dyDescent="0.25">
      <c r="A300" t="s">
        <v>21</v>
      </c>
      <c r="B300" t="s">
        <v>27</v>
      </c>
      <c r="C300" t="s">
        <v>27</v>
      </c>
      <c r="D300">
        <v>394</v>
      </c>
      <c r="E300" t="s">
        <v>51</v>
      </c>
      <c r="F300">
        <v>0.495803371688255</v>
      </c>
      <c r="G300">
        <f t="shared" si="42"/>
        <v>0.495803371688255</v>
      </c>
      <c r="H300">
        <f t="shared" si="43"/>
        <v>1.9239260628126482E-3</v>
      </c>
      <c r="I300">
        <f t="shared" si="44"/>
        <v>257.70396340669373</v>
      </c>
      <c r="J300">
        <f t="shared" si="45"/>
        <v>519.77049395446545</v>
      </c>
    </row>
    <row r="301" spans="1:10" x14ac:dyDescent="0.25">
      <c r="A301" t="s">
        <v>22</v>
      </c>
      <c r="B301" t="s">
        <v>27</v>
      </c>
      <c r="C301" t="s">
        <v>27</v>
      </c>
      <c r="D301">
        <v>398</v>
      </c>
      <c r="E301" t="s">
        <v>51</v>
      </c>
      <c r="F301">
        <v>0.25547292627340201</v>
      </c>
      <c r="G301">
        <f t="shared" si="42"/>
        <v>0.25547292627340201</v>
      </c>
      <c r="H301">
        <f t="shared" si="43"/>
        <v>2.3604383432861233E-3</v>
      </c>
      <c r="I301">
        <f t="shared" si="44"/>
        <v>108.23113723773066</v>
      </c>
      <c r="J301">
        <f t="shared" si="45"/>
        <v>423.65012534402126</v>
      </c>
    </row>
    <row r="302" spans="1:10" x14ac:dyDescent="0.25">
      <c r="A302" t="s">
        <v>23</v>
      </c>
      <c r="B302" t="s">
        <v>27</v>
      </c>
      <c r="C302" t="s">
        <v>27</v>
      </c>
      <c r="D302">
        <v>1127</v>
      </c>
      <c r="E302" t="s">
        <v>51</v>
      </c>
      <c r="F302">
        <v>0.110161209137975</v>
      </c>
      <c r="G302">
        <f t="shared" si="42"/>
        <v>0.110161209137975</v>
      </c>
      <c r="H302">
        <f t="shared" si="43"/>
        <v>8.7810178489000829E-4</v>
      </c>
      <c r="I302">
        <f t="shared" si="44"/>
        <v>125.45380391382974</v>
      </c>
      <c r="J302">
        <f t="shared" si="45"/>
        <v>1138.820142730106</v>
      </c>
    </row>
    <row r="303" spans="1:10" x14ac:dyDescent="0.25">
      <c r="A303" t="s">
        <v>24</v>
      </c>
      <c r="B303" t="s">
        <v>27</v>
      </c>
      <c r="C303" t="s">
        <v>27</v>
      </c>
      <c r="D303">
        <v>1137</v>
      </c>
      <c r="E303" t="s">
        <v>51</v>
      </c>
      <c r="F303">
        <v>8.9652725878374598E-2</v>
      </c>
      <c r="G303">
        <f t="shared" si="42"/>
        <v>8.9652725878374598E-2</v>
      </c>
      <c r="H303">
        <f t="shared" si="43"/>
        <v>8.7397567290094897E-4</v>
      </c>
      <c r="I303">
        <f t="shared" si="44"/>
        <v>102.58034480615947</v>
      </c>
      <c r="J303">
        <f t="shared" si="45"/>
        <v>1144.1966075334158</v>
      </c>
    </row>
    <row r="304" spans="1:10" x14ac:dyDescent="0.25">
      <c r="A304" t="s">
        <v>25</v>
      </c>
      <c r="B304" t="s">
        <v>27</v>
      </c>
      <c r="C304" t="s">
        <v>27</v>
      </c>
      <c r="D304">
        <v>415</v>
      </c>
      <c r="E304" t="s">
        <v>51</v>
      </c>
      <c r="F304">
        <v>8.9384888176619007E-2</v>
      </c>
      <c r="G304">
        <f t="shared" si="42"/>
        <v>8.9384888176619007E-2</v>
      </c>
      <c r="H304">
        <f t="shared" si="43"/>
        <v>2.4019620865996447E-3</v>
      </c>
      <c r="I304">
        <f t="shared" si="44"/>
        <v>37.213280207581207</v>
      </c>
      <c r="J304">
        <f t="shared" si="45"/>
        <v>416.32630489003986</v>
      </c>
    </row>
    <row r="305" spans="1:13" x14ac:dyDescent="0.25">
      <c r="A305" t="s">
        <v>26</v>
      </c>
      <c r="B305" t="s">
        <v>27</v>
      </c>
      <c r="C305" t="s">
        <v>27</v>
      </c>
      <c r="D305">
        <v>397</v>
      </c>
      <c r="E305" t="s">
        <v>51</v>
      </c>
      <c r="F305">
        <v>0.38776327003369798</v>
      </c>
      <c r="G305">
        <f t="shared" si="42"/>
        <v>0.38776327003369798</v>
      </c>
      <c r="H305">
        <f t="shared" si="43"/>
        <v>2.1509864466146165E-3</v>
      </c>
      <c r="I305">
        <f t="shared" si="44"/>
        <v>180.27229815603388</v>
      </c>
      <c r="J305">
        <f t="shared" si="45"/>
        <v>464.90297582947341</v>
      </c>
    </row>
    <row r="306" spans="1:13" x14ac:dyDescent="0.25">
      <c r="A306" t="s">
        <v>6</v>
      </c>
      <c r="B306" t="s">
        <v>28</v>
      </c>
      <c r="C306" t="s">
        <v>29</v>
      </c>
      <c r="D306">
        <v>1142</v>
      </c>
      <c r="E306" t="s">
        <v>51</v>
      </c>
      <c r="F306">
        <v>0.667450892491255</v>
      </c>
      <c r="G306">
        <f t="shared" si="42"/>
        <v>0.667450892491255</v>
      </c>
      <c r="H306">
        <f t="shared" si="43"/>
        <v>4.8641167202862032E-4</v>
      </c>
      <c r="I306">
        <f t="shared" si="44"/>
        <v>1372.1934132616423</v>
      </c>
      <c r="J306">
        <f t="shared" si="45"/>
        <v>2055.8717183521048</v>
      </c>
      <c r="K306">
        <f t="shared" ref="K306:L306" si="50">SUM(I306:I324)</f>
        <v>5859.7562933149611</v>
      </c>
      <c r="L306">
        <f t="shared" si="50"/>
        <v>13063.970592202159</v>
      </c>
      <c r="M306">
        <f t="shared" ref="M306" si="51">K306/L306</f>
        <v>0.44854328566941437</v>
      </c>
    </row>
    <row r="307" spans="1:13" x14ac:dyDescent="0.25">
      <c r="A307" t="s">
        <v>9</v>
      </c>
      <c r="B307" t="s">
        <v>28</v>
      </c>
      <c r="C307" t="s">
        <v>29</v>
      </c>
      <c r="D307">
        <v>1128</v>
      </c>
      <c r="E307" t="s">
        <v>51</v>
      </c>
      <c r="F307">
        <v>0.52662812950632798</v>
      </c>
      <c r="G307">
        <f t="shared" si="42"/>
        <v>0.52662812950632798</v>
      </c>
      <c r="H307">
        <f t="shared" si="43"/>
        <v>6.4179645933629332E-4</v>
      </c>
      <c r="I307">
        <f t="shared" si="44"/>
        <v>820.55318605361992</v>
      </c>
      <c r="J307">
        <f t="shared" si="45"/>
        <v>1558.1263895318757</v>
      </c>
    </row>
    <row r="308" spans="1:13" x14ac:dyDescent="0.25">
      <c r="A308" t="s">
        <v>10</v>
      </c>
      <c r="B308" t="s">
        <v>28</v>
      </c>
      <c r="C308" t="s">
        <v>29</v>
      </c>
      <c r="D308">
        <v>414</v>
      </c>
      <c r="E308" t="s">
        <v>51</v>
      </c>
      <c r="F308">
        <v>0.446658910804899</v>
      </c>
      <c r="G308">
        <f t="shared" si="42"/>
        <v>0.446658910804899</v>
      </c>
      <c r="H308">
        <f t="shared" si="43"/>
        <v>1.9429510131033524E-3</v>
      </c>
      <c r="I308">
        <f t="shared" si="44"/>
        <v>229.88686168236381</v>
      </c>
      <c r="J308">
        <f t="shared" si="45"/>
        <v>514.68101524740109</v>
      </c>
    </row>
    <row r="309" spans="1:13" x14ac:dyDescent="0.25">
      <c r="A309" t="s">
        <v>11</v>
      </c>
      <c r="B309" t="s">
        <v>28</v>
      </c>
      <c r="C309" t="s">
        <v>29</v>
      </c>
      <c r="D309">
        <v>395</v>
      </c>
      <c r="E309" t="s">
        <v>51</v>
      </c>
      <c r="F309">
        <v>0.52204894602455798</v>
      </c>
      <c r="G309">
        <f t="shared" si="42"/>
        <v>0.52204894602455798</v>
      </c>
      <c r="H309">
        <f t="shared" si="43"/>
        <v>1.8510557199863818E-3</v>
      </c>
      <c r="I309">
        <f t="shared" si="44"/>
        <v>282.02767771269396</v>
      </c>
      <c r="J309">
        <f t="shared" si="45"/>
        <v>540.2322518996657</v>
      </c>
    </row>
    <row r="310" spans="1:13" x14ac:dyDescent="0.25">
      <c r="A310" t="s">
        <v>12</v>
      </c>
      <c r="B310" t="s">
        <v>28</v>
      </c>
      <c r="C310" t="s">
        <v>29</v>
      </c>
      <c r="D310">
        <v>415</v>
      </c>
      <c r="E310" t="s">
        <v>51</v>
      </c>
      <c r="F310">
        <v>0.37390030490336801</v>
      </c>
      <c r="G310">
        <f t="shared" si="42"/>
        <v>0.37390030490336801</v>
      </c>
      <c r="H310">
        <f t="shared" si="43"/>
        <v>2.0828052348502869E-3</v>
      </c>
      <c r="I310">
        <f t="shared" si="44"/>
        <v>179.5176517934209</v>
      </c>
      <c r="J310">
        <f t="shared" si="45"/>
        <v>480.12170474109672</v>
      </c>
    </row>
    <row r="311" spans="1:13" x14ac:dyDescent="0.25">
      <c r="A311" t="s">
        <v>13</v>
      </c>
      <c r="B311" t="s">
        <v>28</v>
      </c>
      <c r="C311" t="s">
        <v>29</v>
      </c>
      <c r="D311">
        <v>1006</v>
      </c>
      <c r="E311" t="s">
        <v>51</v>
      </c>
      <c r="F311">
        <v>0.27924375686258002</v>
      </c>
      <c r="G311">
        <f t="shared" si="42"/>
        <v>0.27924375686258002</v>
      </c>
      <c r="H311">
        <f t="shared" si="43"/>
        <v>9.1834952614867752E-4</v>
      </c>
      <c r="I311">
        <f t="shared" si="44"/>
        <v>304.07132460083773</v>
      </c>
      <c r="J311">
        <f t="shared" si="45"/>
        <v>1088.910019035719</v>
      </c>
    </row>
    <row r="312" spans="1:13" x14ac:dyDescent="0.25">
      <c r="A312" t="s">
        <v>14</v>
      </c>
      <c r="B312" t="s">
        <v>28</v>
      </c>
      <c r="C312" t="s">
        <v>29</v>
      </c>
      <c r="D312">
        <v>246</v>
      </c>
      <c r="E312" t="s">
        <v>51</v>
      </c>
      <c r="F312">
        <v>0.37762021248956701</v>
      </c>
      <c r="G312">
        <f t="shared" si="42"/>
        <v>0.37762021248956701</v>
      </c>
      <c r="H312">
        <f t="shared" si="43"/>
        <v>3.5139466193415338E-3</v>
      </c>
      <c r="I312">
        <f t="shared" si="44"/>
        <v>107.46327517073323</v>
      </c>
      <c r="J312">
        <f t="shared" si="45"/>
        <v>284.58030480479709</v>
      </c>
    </row>
    <row r="313" spans="1:13" x14ac:dyDescent="0.25">
      <c r="A313" t="s">
        <v>15</v>
      </c>
      <c r="B313" t="s">
        <v>28</v>
      </c>
      <c r="C313" t="s">
        <v>29</v>
      </c>
      <c r="D313">
        <v>246</v>
      </c>
      <c r="E313" t="s">
        <v>51</v>
      </c>
      <c r="F313">
        <v>0.71385760799742104</v>
      </c>
      <c r="G313">
        <f t="shared" si="42"/>
        <v>0.71385760799742104</v>
      </c>
      <c r="H313">
        <f t="shared" si="43"/>
        <v>2.0098660471483619E-3</v>
      </c>
      <c r="I313">
        <f t="shared" si="44"/>
        <v>355.17670892060517</v>
      </c>
      <c r="J313">
        <f t="shared" si="45"/>
        <v>497.54559584645949</v>
      </c>
    </row>
    <row r="314" spans="1:13" x14ac:dyDescent="0.25">
      <c r="A314" t="s">
        <v>16</v>
      </c>
      <c r="B314" t="s">
        <v>28</v>
      </c>
      <c r="C314" t="s">
        <v>29</v>
      </c>
      <c r="D314">
        <v>246</v>
      </c>
      <c r="E314" t="s">
        <v>51</v>
      </c>
      <c r="F314">
        <v>9.6315042537990406E-2</v>
      </c>
      <c r="G314">
        <f t="shared" si="42"/>
        <v>9.6315042537990406E-2</v>
      </c>
      <c r="H314">
        <f t="shared" si="43"/>
        <v>4.0603418548397748E-3</v>
      </c>
      <c r="I314">
        <f t="shared" si="44"/>
        <v>23.720919563259557</v>
      </c>
      <c r="J314">
        <f t="shared" si="45"/>
        <v>246.28468137677561</v>
      </c>
    </row>
    <row r="315" spans="1:13" x14ac:dyDescent="0.25">
      <c r="A315" t="s">
        <v>17</v>
      </c>
      <c r="B315" t="s">
        <v>28</v>
      </c>
      <c r="C315" t="s">
        <v>29</v>
      </c>
      <c r="D315">
        <v>246</v>
      </c>
      <c r="E315" t="s">
        <v>51</v>
      </c>
      <c r="F315">
        <v>0.52933948239390805</v>
      </c>
      <c r="G315">
        <f t="shared" si="42"/>
        <v>0.52933948239390805</v>
      </c>
      <c r="H315">
        <f t="shared" si="43"/>
        <v>2.9499988212252025E-3</v>
      </c>
      <c r="I315">
        <f t="shared" si="44"/>
        <v>179.4371843762504</v>
      </c>
      <c r="J315">
        <f t="shared" si="45"/>
        <v>338.98318629994469</v>
      </c>
    </row>
    <row r="316" spans="1:13" x14ac:dyDescent="0.25">
      <c r="A316" t="s">
        <v>18</v>
      </c>
      <c r="B316" t="s">
        <v>28</v>
      </c>
      <c r="C316" t="s">
        <v>29</v>
      </c>
      <c r="D316">
        <v>246</v>
      </c>
      <c r="E316" t="s">
        <v>51</v>
      </c>
      <c r="F316">
        <v>0.28239156789183001</v>
      </c>
      <c r="G316">
        <f t="shared" si="42"/>
        <v>0.28239156789183001</v>
      </c>
      <c r="H316">
        <f t="shared" si="43"/>
        <v>3.7715368950147292E-3</v>
      </c>
      <c r="I316">
        <f t="shared" si="44"/>
        <v>74.874401537765465</v>
      </c>
      <c r="J316">
        <f t="shared" si="45"/>
        <v>265.14389964521206</v>
      </c>
    </row>
    <row r="317" spans="1:13" x14ac:dyDescent="0.25">
      <c r="A317" t="s">
        <v>19</v>
      </c>
      <c r="B317" t="s">
        <v>28</v>
      </c>
      <c r="C317" t="s">
        <v>29</v>
      </c>
      <c r="D317">
        <v>266</v>
      </c>
      <c r="E317" t="s">
        <v>51</v>
      </c>
      <c r="F317">
        <v>1.6246005390033999E-2</v>
      </c>
      <c r="G317">
        <f t="shared" si="42"/>
        <v>1.6246005390033999E-2</v>
      </c>
      <c r="H317">
        <f t="shared" si="43"/>
        <v>3.7868790428366174E-3</v>
      </c>
      <c r="I317">
        <f t="shared" si="44"/>
        <v>4.2900777147253928</v>
      </c>
      <c r="J317">
        <f t="shared" si="45"/>
        <v>264.06969662567707</v>
      </c>
    </row>
    <row r="318" spans="1:13" x14ac:dyDescent="0.25">
      <c r="A318" t="s">
        <v>20</v>
      </c>
      <c r="B318" t="s">
        <v>28</v>
      </c>
      <c r="C318" t="s">
        <v>29</v>
      </c>
      <c r="D318">
        <v>245</v>
      </c>
      <c r="E318" t="s">
        <v>51</v>
      </c>
      <c r="F318">
        <v>0.52786496672647898</v>
      </c>
      <c r="G318">
        <f t="shared" si="42"/>
        <v>0.52786496672647898</v>
      </c>
      <c r="H318">
        <f t="shared" si="43"/>
        <v>2.9685538144150338E-3</v>
      </c>
      <c r="I318">
        <f t="shared" si="44"/>
        <v>177.81889759357352</v>
      </c>
      <c r="J318">
        <f t="shared" si="45"/>
        <v>336.86436646157085</v>
      </c>
    </row>
    <row r="319" spans="1:13" x14ac:dyDescent="0.25">
      <c r="A319" t="s">
        <v>21</v>
      </c>
      <c r="B319" t="s">
        <v>28</v>
      </c>
      <c r="C319" t="s">
        <v>29</v>
      </c>
      <c r="D319">
        <v>394</v>
      </c>
      <c r="E319" t="s">
        <v>51</v>
      </c>
      <c r="F319">
        <v>0.50852535019214995</v>
      </c>
      <c r="G319">
        <f t="shared" si="42"/>
        <v>0.50852535019214995</v>
      </c>
      <c r="H319">
        <f t="shared" si="43"/>
        <v>1.8913315515611002E-3</v>
      </c>
      <c r="I319">
        <f t="shared" si="44"/>
        <v>268.87160517806325</v>
      </c>
      <c r="J319">
        <f t="shared" si="45"/>
        <v>528.7280271799001</v>
      </c>
    </row>
    <row r="320" spans="1:13" x14ac:dyDescent="0.25">
      <c r="A320" t="s">
        <v>22</v>
      </c>
      <c r="B320" t="s">
        <v>28</v>
      </c>
      <c r="C320" t="s">
        <v>29</v>
      </c>
      <c r="D320">
        <v>398</v>
      </c>
      <c r="E320" t="s">
        <v>51</v>
      </c>
      <c r="F320">
        <v>0.43150485383037301</v>
      </c>
      <c r="G320">
        <f t="shared" si="42"/>
        <v>0.43150485383037301</v>
      </c>
      <c r="H320">
        <f t="shared" si="43"/>
        <v>2.0550594977798695E-3</v>
      </c>
      <c r="I320">
        <f t="shared" si="44"/>
        <v>209.97195180798323</v>
      </c>
      <c r="J320">
        <f t="shared" si="45"/>
        <v>486.60391637338199</v>
      </c>
    </row>
    <row r="321" spans="1:13" x14ac:dyDescent="0.25">
      <c r="A321" t="s">
        <v>23</v>
      </c>
      <c r="B321" t="s">
        <v>28</v>
      </c>
      <c r="C321" t="s">
        <v>29</v>
      </c>
      <c r="D321">
        <v>1127</v>
      </c>
      <c r="E321" t="s">
        <v>51</v>
      </c>
      <c r="F321">
        <v>0.21502070418125099</v>
      </c>
      <c r="G321">
        <f t="shared" si="42"/>
        <v>0.21502070418125099</v>
      </c>
      <c r="H321">
        <f t="shared" si="43"/>
        <v>8.4779208602079909E-4</v>
      </c>
      <c r="I321">
        <f t="shared" si="44"/>
        <v>253.62433517216843</v>
      </c>
      <c r="J321">
        <f t="shared" si="45"/>
        <v>1179.5344831462212</v>
      </c>
    </row>
    <row r="322" spans="1:13" x14ac:dyDescent="0.25">
      <c r="A322" t="s">
        <v>24</v>
      </c>
      <c r="B322" t="s">
        <v>28</v>
      </c>
      <c r="C322" t="s">
        <v>29</v>
      </c>
      <c r="D322">
        <v>1137</v>
      </c>
      <c r="E322" t="s">
        <v>51</v>
      </c>
      <c r="F322">
        <v>0.419306171170163</v>
      </c>
      <c r="G322">
        <f t="shared" si="42"/>
        <v>0.419306171170163</v>
      </c>
      <c r="H322">
        <f t="shared" si="43"/>
        <v>7.2615183684459727E-4</v>
      </c>
      <c r="I322">
        <f t="shared" si="44"/>
        <v>577.43594368941615</v>
      </c>
      <c r="J322">
        <f t="shared" si="45"/>
        <v>1377.1224546444391</v>
      </c>
    </row>
    <row r="323" spans="1:13" x14ac:dyDescent="0.25">
      <c r="A323" t="s">
        <v>25</v>
      </c>
      <c r="B323" t="s">
        <v>28</v>
      </c>
      <c r="C323" t="s">
        <v>29</v>
      </c>
      <c r="D323">
        <v>415</v>
      </c>
      <c r="E323" t="s">
        <v>51</v>
      </c>
      <c r="F323">
        <v>0.25484431963774201</v>
      </c>
      <c r="G323">
        <f t="shared" ref="G323:G386" si="52">AVERAGE(F323)</f>
        <v>0.25484431963774201</v>
      </c>
      <c r="H323">
        <f t="shared" ref="H323:H386" si="53">(1-G323^2)/(D323-2)</f>
        <v>2.2640541713035748E-3</v>
      </c>
      <c r="I323">
        <f t="shared" ref="I323:I386" si="54">G323/H323</f>
        <v>112.56105214611992</v>
      </c>
      <c r="J323">
        <f t="shared" ref="J323:J386" si="55">1/H323</f>
        <v>441.68554475188631</v>
      </c>
    </row>
    <row r="324" spans="1:13" x14ac:dyDescent="0.25">
      <c r="A324" t="s">
        <v>26</v>
      </c>
      <c r="B324" t="s">
        <v>28</v>
      </c>
      <c r="C324" t="s">
        <v>29</v>
      </c>
      <c r="D324">
        <v>397</v>
      </c>
      <c r="E324" t="s">
        <v>51</v>
      </c>
      <c r="F324">
        <v>0.56360398049793903</v>
      </c>
      <c r="G324">
        <f t="shared" si="52"/>
        <v>0.56360398049793903</v>
      </c>
      <c r="H324">
        <f t="shared" si="53"/>
        <v>1.7274697548528577E-3</v>
      </c>
      <c r="I324">
        <f t="shared" si="54"/>
        <v>326.25982533971813</v>
      </c>
      <c r="J324">
        <f t="shared" si="55"/>
        <v>578.88133623802753</v>
      </c>
    </row>
    <row r="325" spans="1:13" x14ac:dyDescent="0.25">
      <c r="A325" t="s">
        <v>6</v>
      </c>
      <c r="B325" t="s">
        <v>30</v>
      </c>
      <c r="C325" t="s">
        <v>30</v>
      </c>
      <c r="D325">
        <v>1142</v>
      </c>
      <c r="E325" t="s">
        <v>51</v>
      </c>
      <c r="F325">
        <v>0.60724779160605302</v>
      </c>
      <c r="G325">
        <f t="shared" si="52"/>
        <v>0.60724779160605302</v>
      </c>
      <c r="H325">
        <f t="shared" si="53"/>
        <v>5.5372817507857162E-4</v>
      </c>
      <c r="I325">
        <f t="shared" si="54"/>
        <v>1096.6532297546305</v>
      </c>
      <c r="J325">
        <f t="shared" si="55"/>
        <v>1805.9402519261448</v>
      </c>
      <c r="K325">
        <f t="shared" ref="K325:L325" si="56">SUM(I325:I343)</f>
        <v>3763.3745036262708</v>
      </c>
      <c r="L325">
        <f t="shared" si="56"/>
        <v>11718.477917797794</v>
      </c>
      <c r="M325">
        <f t="shared" ref="M325" si="57">K325/L325</f>
        <v>0.32114874730535881</v>
      </c>
    </row>
    <row r="326" spans="1:13" x14ac:dyDescent="0.25">
      <c r="A326" t="s">
        <v>9</v>
      </c>
      <c r="B326" t="s">
        <v>30</v>
      </c>
      <c r="C326" t="s">
        <v>30</v>
      </c>
      <c r="D326">
        <v>1128</v>
      </c>
      <c r="E326" t="s">
        <v>51</v>
      </c>
      <c r="F326">
        <v>0.43127535338748502</v>
      </c>
      <c r="G326">
        <f t="shared" si="52"/>
        <v>0.43127535338748502</v>
      </c>
      <c r="H326">
        <f t="shared" si="53"/>
        <v>7.2291436017806376E-4</v>
      </c>
      <c r="I326">
        <f t="shared" si="54"/>
        <v>596.57876111529447</v>
      </c>
      <c r="J326">
        <f t="shared" si="55"/>
        <v>1383.2897160234668</v>
      </c>
    </row>
    <row r="327" spans="1:13" x14ac:dyDescent="0.25">
      <c r="A327" t="s">
        <v>10</v>
      </c>
      <c r="B327" t="s">
        <v>30</v>
      </c>
      <c r="C327" t="s">
        <v>30</v>
      </c>
      <c r="D327">
        <v>414</v>
      </c>
      <c r="E327" t="s">
        <v>51</v>
      </c>
      <c r="F327">
        <v>0.173586519586162</v>
      </c>
      <c r="G327">
        <f t="shared" si="52"/>
        <v>0.173586519586162</v>
      </c>
      <c r="H327">
        <f t="shared" si="53"/>
        <v>2.3540478646067063E-3</v>
      </c>
      <c r="I327">
        <f t="shared" si="54"/>
        <v>73.739587965074506</v>
      </c>
      <c r="J327">
        <f t="shared" si="55"/>
        <v>424.80019843057494</v>
      </c>
    </row>
    <row r="328" spans="1:13" x14ac:dyDescent="0.25">
      <c r="A328" t="s">
        <v>11</v>
      </c>
      <c r="B328" t="s">
        <v>30</v>
      </c>
      <c r="C328" t="s">
        <v>30</v>
      </c>
      <c r="D328">
        <v>395</v>
      </c>
      <c r="E328" t="s">
        <v>51</v>
      </c>
      <c r="F328">
        <v>0.43735081982162199</v>
      </c>
      <c r="G328">
        <f t="shared" si="52"/>
        <v>0.43735081982162199</v>
      </c>
      <c r="H328">
        <f t="shared" si="53"/>
        <v>2.0578225455505218E-3</v>
      </c>
      <c r="I328">
        <f t="shared" si="54"/>
        <v>212.53087190014196</v>
      </c>
      <c r="J328">
        <f t="shared" si="55"/>
        <v>485.95055106293125</v>
      </c>
    </row>
    <row r="329" spans="1:13" x14ac:dyDescent="0.25">
      <c r="A329" t="s">
        <v>12</v>
      </c>
      <c r="B329" t="s">
        <v>30</v>
      </c>
      <c r="C329" t="s">
        <v>30</v>
      </c>
      <c r="D329">
        <v>415</v>
      </c>
      <c r="E329" t="s">
        <v>51</v>
      </c>
      <c r="F329">
        <v>0.36008359806476697</v>
      </c>
      <c r="G329">
        <f t="shared" si="52"/>
        <v>0.36008359806476697</v>
      </c>
      <c r="H329">
        <f t="shared" si="53"/>
        <v>2.1073602963794947E-3</v>
      </c>
      <c r="I329">
        <f t="shared" si="54"/>
        <v>170.86949900470313</v>
      </c>
      <c r="J329">
        <f t="shared" si="55"/>
        <v>474.52730400113762</v>
      </c>
    </row>
    <row r="330" spans="1:13" x14ac:dyDescent="0.25">
      <c r="A330" t="s">
        <v>13</v>
      </c>
      <c r="B330" t="s">
        <v>30</v>
      </c>
      <c r="C330" t="s">
        <v>30</v>
      </c>
      <c r="D330">
        <v>1006</v>
      </c>
      <c r="E330" t="s">
        <v>51</v>
      </c>
      <c r="F330">
        <v>4.1752516357965203E-2</v>
      </c>
      <c r="G330">
        <f t="shared" si="52"/>
        <v>4.1752516357965203E-2</v>
      </c>
      <c r="H330">
        <f t="shared" si="53"/>
        <v>9.942796089420097E-4</v>
      </c>
      <c r="I330">
        <f t="shared" si="54"/>
        <v>41.992731202033909</v>
      </c>
      <c r="J330">
        <f t="shared" si="55"/>
        <v>1005.7533021964286</v>
      </c>
    </row>
    <row r="331" spans="1:13" x14ac:dyDescent="0.25">
      <c r="A331" t="s">
        <v>14</v>
      </c>
      <c r="B331" t="s">
        <v>30</v>
      </c>
      <c r="C331" t="s">
        <v>30</v>
      </c>
      <c r="D331">
        <v>246</v>
      </c>
      <c r="E331" t="s">
        <v>51</v>
      </c>
      <c r="F331">
        <v>0.16334211321944</v>
      </c>
      <c r="G331">
        <f t="shared" si="52"/>
        <v>0.16334211321944</v>
      </c>
      <c r="H331">
        <f t="shared" si="53"/>
        <v>3.9890137461024901E-3</v>
      </c>
      <c r="I331">
        <f t="shared" si="54"/>
        <v>40.947994571097986</v>
      </c>
      <c r="J331">
        <f t="shared" si="55"/>
        <v>250.68853196534133</v>
      </c>
    </row>
    <row r="332" spans="1:13" x14ac:dyDescent="0.25">
      <c r="A332" t="s">
        <v>15</v>
      </c>
      <c r="B332" t="s">
        <v>30</v>
      </c>
      <c r="C332" t="s">
        <v>30</v>
      </c>
      <c r="D332">
        <v>246</v>
      </c>
      <c r="E332" t="s">
        <v>51</v>
      </c>
      <c r="F332">
        <v>0.21909756354374299</v>
      </c>
      <c r="G332">
        <f t="shared" si="52"/>
        <v>0.21909756354374299</v>
      </c>
      <c r="H332">
        <f t="shared" si="53"/>
        <v>3.9016240067589981E-3</v>
      </c>
      <c r="I332">
        <f t="shared" si="54"/>
        <v>56.155478632535633</v>
      </c>
      <c r="J332">
        <f t="shared" si="55"/>
        <v>256.30352854802129</v>
      </c>
    </row>
    <row r="333" spans="1:13" x14ac:dyDescent="0.25">
      <c r="A333" t="s">
        <v>16</v>
      </c>
      <c r="B333" t="s">
        <v>30</v>
      </c>
      <c r="C333" t="s">
        <v>30</v>
      </c>
      <c r="D333">
        <v>246</v>
      </c>
      <c r="E333" t="s">
        <v>51</v>
      </c>
      <c r="F333">
        <v>8.3750492656375103E-2</v>
      </c>
      <c r="G333">
        <f t="shared" si="52"/>
        <v>8.3750492656375103E-2</v>
      </c>
      <c r="H333">
        <f t="shared" si="53"/>
        <v>4.0696141597533382E-3</v>
      </c>
      <c r="I333">
        <f t="shared" si="54"/>
        <v>20.579467578187135</v>
      </c>
      <c r="J333">
        <f t="shared" si="55"/>
        <v>245.72354054827906</v>
      </c>
    </row>
    <row r="334" spans="1:13" x14ac:dyDescent="0.25">
      <c r="A334" t="s">
        <v>17</v>
      </c>
      <c r="B334" t="s">
        <v>30</v>
      </c>
      <c r="C334" t="s">
        <v>30</v>
      </c>
      <c r="D334">
        <v>246</v>
      </c>
      <c r="E334" t="s">
        <v>51</v>
      </c>
      <c r="F334">
        <v>0.16718056303787299</v>
      </c>
      <c r="G334">
        <f t="shared" si="52"/>
        <v>0.16718056303787299</v>
      </c>
      <c r="H334">
        <f t="shared" si="53"/>
        <v>3.9838141776325402E-3</v>
      </c>
      <c r="I334">
        <f t="shared" si="54"/>
        <v>41.964950066326466</v>
      </c>
      <c r="J334">
        <f t="shared" si="55"/>
        <v>251.01572397994468</v>
      </c>
    </row>
    <row r="335" spans="1:13" x14ac:dyDescent="0.25">
      <c r="A335" t="s">
        <v>18</v>
      </c>
      <c r="B335" t="s">
        <v>30</v>
      </c>
      <c r="C335" t="s">
        <v>30</v>
      </c>
      <c r="D335">
        <v>246</v>
      </c>
      <c r="E335" t="s">
        <v>51</v>
      </c>
      <c r="F335">
        <v>0.168281211895567</v>
      </c>
      <c r="G335">
        <f t="shared" si="52"/>
        <v>0.168281211895567</v>
      </c>
      <c r="H335">
        <f t="shared" si="53"/>
        <v>3.9823009578809805E-3</v>
      </c>
      <c r="I335">
        <f t="shared" si="54"/>
        <v>42.257281324390661</v>
      </c>
      <c r="J335">
        <f t="shared" si="55"/>
        <v>251.11110651268038</v>
      </c>
    </row>
    <row r="336" spans="1:13" x14ac:dyDescent="0.25">
      <c r="A336" t="s">
        <v>19</v>
      </c>
      <c r="B336" t="s">
        <v>30</v>
      </c>
      <c r="C336" t="s">
        <v>30</v>
      </c>
      <c r="D336">
        <v>266</v>
      </c>
      <c r="E336" t="s">
        <v>51</v>
      </c>
      <c r="F336">
        <v>-0.202491427715151</v>
      </c>
      <c r="G336">
        <f t="shared" si="52"/>
        <v>-0.202491427715151</v>
      </c>
      <c r="H336">
        <f t="shared" si="53"/>
        <v>3.6325652337192414E-3</v>
      </c>
      <c r="I336">
        <f t="shared" si="54"/>
        <v>-55.74336995672558</v>
      </c>
      <c r="J336">
        <f t="shared" si="55"/>
        <v>275.28755456819124</v>
      </c>
    </row>
    <row r="337" spans="1:13" x14ac:dyDescent="0.25">
      <c r="A337" t="s">
        <v>20</v>
      </c>
      <c r="B337" t="s">
        <v>30</v>
      </c>
      <c r="C337" t="s">
        <v>30</v>
      </c>
      <c r="D337">
        <v>245</v>
      </c>
      <c r="E337" t="s">
        <v>51</v>
      </c>
      <c r="F337">
        <v>0.17574811690782499</v>
      </c>
      <c r="G337">
        <f t="shared" si="52"/>
        <v>0.17574811690782499</v>
      </c>
      <c r="H337">
        <f t="shared" si="53"/>
        <v>3.9881176930179158E-3</v>
      </c>
      <c r="I337">
        <f t="shared" si="54"/>
        <v>44.067936414091044</v>
      </c>
      <c r="J337">
        <f t="shared" si="55"/>
        <v>250.74485684079025</v>
      </c>
    </row>
    <row r="338" spans="1:13" x14ac:dyDescent="0.25">
      <c r="A338" t="s">
        <v>21</v>
      </c>
      <c r="B338" t="s">
        <v>30</v>
      </c>
      <c r="C338" t="s">
        <v>30</v>
      </c>
      <c r="D338">
        <v>394</v>
      </c>
      <c r="E338" t="s">
        <v>51</v>
      </c>
      <c r="F338">
        <v>0.38372905843395899</v>
      </c>
      <c r="G338">
        <f t="shared" si="52"/>
        <v>0.38372905843395899</v>
      </c>
      <c r="H338">
        <f t="shared" si="53"/>
        <v>2.1753877798810898E-3</v>
      </c>
      <c r="I338">
        <f t="shared" si="54"/>
        <v>176.39570378341202</v>
      </c>
      <c r="J338">
        <f t="shared" si="55"/>
        <v>459.68815732460428</v>
      </c>
    </row>
    <row r="339" spans="1:13" x14ac:dyDescent="0.25">
      <c r="A339" t="s">
        <v>22</v>
      </c>
      <c r="B339" t="s">
        <v>30</v>
      </c>
      <c r="C339" t="s">
        <v>30</v>
      </c>
      <c r="D339">
        <v>398</v>
      </c>
      <c r="E339" t="s">
        <v>51</v>
      </c>
      <c r="F339">
        <v>0.359344959876013</v>
      </c>
      <c r="G339">
        <f t="shared" si="52"/>
        <v>0.359344959876013</v>
      </c>
      <c r="H339">
        <f t="shared" si="53"/>
        <v>2.1991696964942086E-3</v>
      </c>
      <c r="I339">
        <f t="shared" si="54"/>
        <v>163.40028713966927</v>
      </c>
      <c r="J339">
        <f t="shared" si="55"/>
        <v>454.71706962593345</v>
      </c>
    </row>
    <row r="340" spans="1:13" x14ac:dyDescent="0.25">
      <c r="A340" t="s">
        <v>23</v>
      </c>
      <c r="B340" t="s">
        <v>30</v>
      </c>
      <c r="C340" t="s">
        <v>30</v>
      </c>
      <c r="D340">
        <v>1127</v>
      </c>
      <c r="E340" t="s">
        <v>51</v>
      </c>
      <c r="F340">
        <v>0.12870061207922201</v>
      </c>
      <c r="G340">
        <f t="shared" si="52"/>
        <v>0.12870061207922201</v>
      </c>
      <c r="H340">
        <f t="shared" si="53"/>
        <v>8.7416546884482981E-4</v>
      </c>
      <c r="I340">
        <f t="shared" si="54"/>
        <v>147.22683137929718</v>
      </c>
      <c r="J340">
        <f t="shared" si="55"/>
        <v>1143.9481833130001</v>
      </c>
    </row>
    <row r="341" spans="1:13" x14ac:dyDescent="0.25">
      <c r="A341" t="s">
        <v>24</v>
      </c>
      <c r="B341" t="s">
        <v>30</v>
      </c>
      <c r="C341" t="s">
        <v>30</v>
      </c>
      <c r="D341">
        <v>1137</v>
      </c>
      <c r="E341" t="s">
        <v>51</v>
      </c>
      <c r="F341">
        <v>0.35989954001399299</v>
      </c>
      <c r="G341">
        <f t="shared" si="52"/>
        <v>0.35989954001399299</v>
      </c>
      <c r="H341">
        <f t="shared" si="53"/>
        <v>7.6693596572486005E-4</v>
      </c>
      <c r="I341">
        <f t="shared" si="54"/>
        <v>469.26934724444482</v>
      </c>
      <c r="J341">
        <f t="shared" si="55"/>
        <v>1303.8898222159426</v>
      </c>
    </row>
    <row r="342" spans="1:13" x14ac:dyDescent="0.25">
      <c r="A342" t="s">
        <v>25</v>
      </c>
      <c r="B342" t="s">
        <v>30</v>
      </c>
      <c r="C342" t="s">
        <v>30</v>
      </c>
      <c r="D342">
        <v>415</v>
      </c>
      <c r="E342" t="s">
        <v>51</v>
      </c>
      <c r="F342">
        <v>0.34410595817145601</v>
      </c>
      <c r="G342">
        <f t="shared" si="52"/>
        <v>0.34410595817145601</v>
      </c>
      <c r="H342">
        <f t="shared" si="53"/>
        <v>2.1346031223992835E-3</v>
      </c>
      <c r="I342">
        <f t="shared" si="54"/>
        <v>161.20371724401986</v>
      </c>
      <c r="J342">
        <f t="shared" si="55"/>
        <v>468.47115958305397</v>
      </c>
    </row>
    <row r="343" spans="1:13" x14ac:dyDescent="0.25">
      <c r="A343" t="s">
        <v>26</v>
      </c>
      <c r="B343" t="s">
        <v>30</v>
      </c>
      <c r="C343" t="s">
        <v>30</v>
      </c>
      <c r="D343">
        <v>397</v>
      </c>
      <c r="E343" t="s">
        <v>51</v>
      </c>
      <c r="F343">
        <v>0.49994401676725098</v>
      </c>
      <c r="G343">
        <f t="shared" si="52"/>
        <v>0.49994401676725098</v>
      </c>
      <c r="H343">
        <f t="shared" si="53"/>
        <v>1.898875898983865E-3</v>
      </c>
      <c r="I343">
        <f t="shared" si="54"/>
        <v>263.28419726364598</v>
      </c>
      <c r="J343">
        <f t="shared" si="55"/>
        <v>526.62735913132849</v>
      </c>
    </row>
    <row r="344" spans="1:13" x14ac:dyDescent="0.25">
      <c r="A344" t="s">
        <v>6</v>
      </c>
      <c r="B344" t="s">
        <v>31</v>
      </c>
      <c r="C344" t="s">
        <v>32</v>
      </c>
      <c r="D344">
        <v>1142</v>
      </c>
      <c r="E344" t="s">
        <v>51</v>
      </c>
      <c r="F344">
        <v>0.60377662877618299</v>
      </c>
      <c r="G344">
        <f t="shared" si="52"/>
        <v>0.60377662877618299</v>
      </c>
      <c r="H344">
        <f t="shared" si="53"/>
        <v>5.5741559872251516E-4</v>
      </c>
      <c r="I344">
        <f t="shared" si="54"/>
        <v>1083.1713898210205</v>
      </c>
      <c r="J344">
        <f t="shared" si="55"/>
        <v>1793.9935701329484</v>
      </c>
      <c r="K344">
        <f t="shared" ref="K344:L344" si="58">SUM(I344:I362)</f>
        <v>4072.3680375405856</v>
      </c>
      <c r="L344">
        <f t="shared" si="58"/>
        <v>11883.147558655295</v>
      </c>
      <c r="M344">
        <f t="shared" ref="M344" si="59">K344/L344</f>
        <v>0.34270112505456574</v>
      </c>
    </row>
    <row r="345" spans="1:13" x14ac:dyDescent="0.25">
      <c r="A345" t="s">
        <v>9</v>
      </c>
      <c r="B345" t="s">
        <v>31</v>
      </c>
      <c r="C345" t="s">
        <v>32</v>
      </c>
      <c r="D345">
        <v>1128</v>
      </c>
      <c r="E345" t="s">
        <v>51</v>
      </c>
      <c r="F345">
        <v>0.45452490751441299</v>
      </c>
      <c r="G345">
        <f t="shared" si="52"/>
        <v>0.45452490751441299</v>
      </c>
      <c r="H345">
        <f t="shared" si="53"/>
        <v>7.046244302389115E-4</v>
      </c>
      <c r="I345">
        <f t="shared" si="54"/>
        <v>645.05981911569654</v>
      </c>
      <c r="J345">
        <f t="shared" si="55"/>
        <v>1419.1957546248259</v>
      </c>
    </row>
    <row r="346" spans="1:13" x14ac:dyDescent="0.25">
      <c r="A346" t="s">
        <v>10</v>
      </c>
      <c r="B346" t="s">
        <v>31</v>
      </c>
      <c r="C346" t="s">
        <v>32</v>
      </c>
      <c r="D346">
        <v>414</v>
      </c>
      <c r="E346" t="s">
        <v>51</v>
      </c>
      <c r="F346">
        <v>0.20755675293822301</v>
      </c>
      <c r="G346">
        <f t="shared" si="52"/>
        <v>0.20755675293822301</v>
      </c>
      <c r="H346">
        <f t="shared" si="53"/>
        <v>2.3226218308488871E-3</v>
      </c>
      <c r="I346">
        <f t="shared" si="54"/>
        <v>89.363128418699063</v>
      </c>
      <c r="J346">
        <f t="shared" si="55"/>
        <v>430.54792076698664</v>
      </c>
    </row>
    <row r="347" spans="1:13" x14ac:dyDescent="0.25">
      <c r="A347" t="s">
        <v>11</v>
      </c>
      <c r="B347" t="s">
        <v>31</v>
      </c>
      <c r="C347" t="s">
        <v>32</v>
      </c>
      <c r="D347">
        <v>395</v>
      </c>
      <c r="E347" t="s">
        <v>51</v>
      </c>
      <c r="F347">
        <v>0.46553818367903599</v>
      </c>
      <c r="G347">
        <f t="shared" si="52"/>
        <v>0.46553818367903599</v>
      </c>
      <c r="H347">
        <f t="shared" si="53"/>
        <v>1.9930641209588403E-3</v>
      </c>
      <c r="I347">
        <f t="shared" si="54"/>
        <v>233.57913013609965</v>
      </c>
      <c r="J347">
        <f t="shared" si="55"/>
        <v>501.74000398888899</v>
      </c>
    </row>
    <row r="348" spans="1:13" x14ac:dyDescent="0.25">
      <c r="A348" t="s">
        <v>12</v>
      </c>
      <c r="B348" t="s">
        <v>31</v>
      </c>
      <c r="C348" t="s">
        <v>32</v>
      </c>
      <c r="D348">
        <v>415</v>
      </c>
      <c r="E348" t="s">
        <v>51</v>
      </c>
      <c r="F348">
        <v>0.39782172369921698</v>
      </c>
      <c r="G348">
        <f t="shared" si="52"/>
        <v>0.39782172369921698</v>
      </c>
      <c r="H348">
        <f t="shared" si="53"/>
        <v>2.0381062376585565E-3</v>
      </c>
      <c r="I348">
        <f t="shared" si="54"/>
        <v>195.19184836814378</v>
      </c>
      <c r="J348">
        <f t="shared" si="55"/>
        <v>490.65155756985115</v>
      </c>
    </row>
    <row r="349" spans="1:13" x14ac:dyDescent="0.25">
      <c r="A349" t="s">
        <v>13</v>
      </c>
      <c r="B349" t="s">
        <v>31</v>
      </c>
      <c r="C349" t="s">
        <v>32</v>
      </c>
      <c r="D349">
        <v>1006</v>
      </c>
      <c r="E349" t="s">
        <v>51</v>
      </c>
      <c r="F349">
        <v>8.2814212575841706E-2</v>
      </c>
      <c r="G349">
        <f t="shared" si="52"/>
        <v>8.2814212575841706E-2</v>
      </c>
      <c r="H349">
        <f t="shared" si="53"/>
        <v>9.8918506593171653E-4</v>
      </c>
      <c r="I349">
        <f t="shared" si="54"/>
        <v>83.719634907588031</v>
      </c>
      <c r="J349">
        <f t="shared" si="55"/>
        <v>1010.9331756420088</v>
      </c>
    </row>
    <row r="350" spans="1:13" x14ac:dyDescent="0.25">
      <c r="A350" t="s">
        <v>14</v>
      </c>
      <c r="B350" t="s">
        <v>31</v>
      </c>
      <c r="C350" t="s">
        <v>32</v>
      </c>
      <c r="D350">
        <v>246</v>
      </c>
      <c r="E350" t="s">
        <v>51</v>
      </c>
      <c r="F350">
        <v>0.15425360486759901</v>
      </c>
      <c r="G350">
        <f t="shared" si="52"/>
        <v>0.15425360486759901</v>
      </c>
      <c r="H350">
        <f t="shared" si="53"/>
        <v>4.0008435466612731E-3</v>
      </c>
      <c r="I350">
        <f t="shared" si="54"/>
        <v>38.555270424489485</v>
      </c>
      <c r="J350">
        <f t="shared" si="55"/>
        <v>249.94728944962262</v>
      </c>
    </row>
    <row r="351" spans="1:13" x14ac:dyDescent="0.25">
      <c r="A351" t="s">
        <v>15</v>
      </c>
      <c r="B351" t="s">
        <v>31</v>
      </c>
      <c r="C351" t="s">
        <v>32</v>
      </c>
      <c r="D351">
        <v>246</v>
      </c>
      <c r="E351" t="s">
        <v>51</v>
      </c>
      <c r="F351">
        <v>0.27115750751835599</v>
      </c>
      <c r="G351">
        <f t="shared" si="52"/>
        <v>0.27115750751835599</v>
      </c>
      <c r="H351">
        <f t="shared" si="53"/>
        <v>3.7970229758870194E-3</v>
      </c>
      <c r="I351">
        <f t="shared" si="54"/>
        <v>71.413185867017603</v>
      </c>
      <c r="J351">
        <f t="shared" si="55"/>
        <v>263.36422148364557</v>
      </c>
    </row>
    <row r="352" spans="1:13" x14ac:dyDescent="0.25">
      <c r="A352" t="s">
        <v>16</v>
      </c>
      <c r="B352" t="s">
        <v>31</v>
      </c>
      <c r="C352" t="s">
        <v>32</v>
      </c>
      <c r="D352">
        <v>246</v>
      </c>
      <c r="E352" t="s">
        <v>51</v>
      </c>
      <c r="F352">
        <v>7.9044886875823894E-2</v>
      </c>
      <c r="G352">
        <f t="shared" si="52"/>
        <v>7.9044886875823894E-2</v>
      </c>
      <c r="H352">
        <f t="shared" si="53"/>
        <v>4.0727537125360173E-3</v>
      </c>
      <c r="I352">
        <f t="shared" si="54"/>
        <v>19.408216763150236</v>
      </c>
      <c r="J352">
        <f t="shared" si="55"/>
        <v>245.53412029850466</v>
      </c>
    </row>
    <row r="353" spans="1:13" x14ac:dyDescent="0.25">
      <c r="A353" t="s">
        <v>17</v>
      </c>
      <c r="B353" t="s">
        <v>31</v>
      </c>
      <c r="C353" t="s">
        <v>32</v>
      </c>
      <c r="D353">
        <v>246</v>
      </c>
      <c r="E353" t="s">
        <v>51</v>
      </c>
      <c r="F353">
        <v>0.19091365302732499</v>
      </c>
      <c r="G353">
        <f t="shared" si="52"/>
        <v>0.19091365302732499</v>
      </c>
      <c r="H353">
        <f t="shared" si="53"/>
        <v>3.9489835126547629E-3</v>
      </c>
      <c r="I353">
        <f t="shared" si="54"/>
        <v>48.34501142269405</v>
      </c>
      <c r="J353">
        <f t="shared" si="55"/>
        <v>253.22972273635429</v>
      </c>
    </row>
    <row r="354" spans="1:13" x14ac:dyDescent="0.25">
      <c r="A354" t="s">
        <v>18</v>
      </c>
      <c r="B354" t="s">
        <v>31</v>
      </c>
      <c r="C354" t="s">
        <v>32</v>
      </c>
      <c r="D354">
        <v>246</v>
      </c>
      <c r="E354" t="s">
        <v>51</v>
      </c>
      <c r="F354">
        <v>0.17358262174245601</v>
      </c>
      <c r="G354">
        <f t="shared" si="52"/>
        <v>0.17358262174245601</v>
      </c>
      <c r="H354">
        <f t="shared" si="53"/>
        <v>3.9748732517582595E-3</v>
      </c>
      <c r="I354">
        <f t="shared" si="54"/>
        <v>43.669976562315</v>
      </c>
      <c r="J354">
        <f t="shared" si="55"/>
        <v>251.58034902311829</v>
      </c>
    </row>
    <row r="355" spans="1:13" x14ac:dyDescent="0.25">
      <c r="A355" t="s">
        <v>19</v>
      </c>
      <c r="B355" t="s">
        <v>31</v>
      </c>
      <c r="C355" t="s">
        <v>32</v>
      </c>
      <c r="D355">
        <v>266</v>
      </c>
      <c r="E355" t="s">
        <v>51</v>
      </c>
      <c r="F355">
        <v>-0.19077348296494001</v>
      </c>
      <c r="G355">
        <f t="shared" si="52"/>
        <v>-0.19077348296494001</v>
      </c>
      <c r="H355">
        <f t="shared" si="53"/>
        <v>3.6500207507478245E-3</v>
      </c>
      <c r="I355">
        <f t="shared" si="54"/>
        <v>-52.266410519954967</v>
      </c>
      <c r="J355">
        <f t="shared" si="55"/>
        <v>273.97104517696721</v>
      </c>
    </row>
    <row r="356" spans="1:13" x14ac:dyDescent="0.25">
      <c r="A356" t="s">
        <v>20</v>
      </c>
      <c r="B356" t="s">
        <v>31</v>
      </c>
      <c r="C356" t="s">
        <v>32</v>
      </c>
      <c r="D356">
        <v>245</v>
      </c>
      <c r="E356" t="s">
        <v>51</v>
      </c>
      <c r="F356">
        <v>0.19912580965350599</v>
      </c>
      <c r="G356">
        <f t="shared" si="52"/>
        <v>0.19912580965350599</v>
      </c>
      <c r="H356">
        <f t="shared" si="53"/>
        <v>3.9520531355137275E-3</v>
      </c>
      <c r="I356">
        <f t="shared" si="54"/>
        <v>50.385407995690223</v>
      </c>
      <c r="J356">
        <f t="shared" si="55"/>
        <v>253.03303516186403</v>
      </c>
    </row>
    <row r="357" spans="1:13" x14ac:dyDescent="0.25">
      <c r="A357" t="s">
        <v>21</v>
      </c>
      <c r="B357" t="s">
        <v>31</v>
      </c>
      <c r="C357" t="s">
        <v>32</v>
      </c>
      <c r="D357">
        <v>394</v>
      </c>
      <c r="E357" t="s">
        <v>51</v>
      </c>
      <c r="F357">
        <v>0.41857550675518101</v>
      </c>
      <c r="G357">
        <f t="shared" si="52"/>
        <v>0.41857550675518101</v>
      </c>
      <c r="H357">
        <f t="shared" si="53"/>
        <v>2.104067717205723E-3</v>
      </c>
      <c r="I357">
        <f t="shared" si="54"/>
        <v>198.93632858502491</v>
      </c>
      <c r="J357">
        <f t="shared" si="55"/>
        <v>475.26987454949199</v>
      </c>
    </row>
    <row r="358" spans="1:13" x14ac:dyDescent="0.25">
      <c r="A358" t="s">
        <v>22</v>
      </c>
      <c r="B358" t="s">
        <v>31</v>
      </c>
      <c r="C358" t="s">
        <v>32</v>
      </c>
      <c r="D358">
        <v>398</v>
      </c>
      <c r="E358" t="s">
        <v>51</v>
      </c>
      <c r="F358">
        <v>0.36836160620646502</v>
      </c>
      <c r="G358">
        <f t="shared" si="52"/>
        <v>0.36836160620646502</v>
      </c>
      <c r="H358">
        <f t="shared" si="53"/>
        <v>2.1826003208913966E-3</v>
      </c>
      <c r="I358">
        <f t="shared" si="54"/>
        <v>168.77190142445426</v>
      </c>
      <c r="J358">
        <f t="shared" si="55"/>
        <v>458.1690886912312</v>
      </c>
    </row>
    <row r="359" spans="1:13" x14ac:dyDescent="0.25">
      <c r="A359" t="s">
        <v>23</v>
      </c>
      <c r="B359" t="s">
        <v>31</v>
      </c>
      <c r="C359" t="s">
        <v>32</v>
      </c>
      <c r="D359">
        <v>1127</v>
      </c>
      <c r="E359" t="s">
        <v>51</v>
      </c>
      <c r="F359">
        <v>0.15391301687220399</v>
      </c>
      <c r="G359">
        <f t="shared" si="52"/>
        <v>0.15391301687220399</v>
      </c>
      <c r="H359">
        <f t="shared" si="53"/>
        <v>8.6783180732204147E-4</v>
      </c>
      <c r="I359">
        <f t="shared" si="54"/>
        <v>177.3535097165306</v>
      </c>
      <c r="J359">
        <f t="shared" si="55"/>
        <v>1152.297013733345</v>
      </c>
    </row>
    <row r="360" spans="1:13" x14ac:dyDescent="0.25">
      <c r="A360" t="s">
        <v>24</v>
      </c>
      <c r="B360" t="s">
        <v>31</v>
      </c>
      <c r="C360" t="s">
        <v>32</v>
      </c>
      <c r="D360">
        <v>1137</v>
      </c>
      <c r="E360" t="s">
        <v>51</v>
      </c>
      <c r="F360">
        <v>0.38049779635504399</v>
      </c>
      <c r="G360">
        <f t="shared" si="52"/>
        <v>0.38049779635504399</v>
      </c>
      <c r="H360">
        <f t="shared" si="53"/>
        <v>7.5349905459819871E-4</v>
      </c>
      <c r="I360">
        <f t="shared" si="54"/>
        <v>504.97448408603964</v>
      </c>
      <c r="J360">
        <f t="shared" si="55"/>
        <v>1327.1416784102632</v>
      </c>
    </row>
    <row r="361" spans="1:13" x14ac:dyDescent="0.25">
      <c r="A361" t="s">
        <v>25</v>
      </c>
      <c r="B361" t="s">
        <v>31</v>
      </c>
      <c r="C361" t="s">
        <v>32</v>
      </c>
      <c r="D361">
        <v>415</v>
      </c>
      <c r="E361" t="s">
        <v>51</v>
      </c>
      <c r="F361">
        <v>0.36183949813523902</v>
      </c>
      <c r="G361">
        <f t="shared" si="52"/>
        <v>0.36183949813523902</v>
      </c>
      <c r="H361">
        <f t="shared" si="53"/>
        <v>2.1042909868988825E-3</v>
      </c>
      <c r="I361">
        <f t="shared" si="54"/>
        <v>171.95316635770322</v>
      </c>
      <c r="J361">
        <f t="shared" si="55"/>
        <v>475.21944741763656</v>
      </c>
    </row>
    <row r="362" spans="1:13" x14ac:dyDescent="0.25">
      <c r="A362" t="s">
        <v>26</v>
      </c>
      <c r="B362" t="s">
        <v>31</v>
      </c>
      <c r="C362" t="s">
        <v>32</v>
      </c>
      <c r="D362">
        <v>397</v>
      </c>
      <c r="E362" t="s">
        <v>51</v>
      </c>
      <c r="F362">
        <v>0.53968698111942104</v>
      </c>
      <c r="G362">
        <f t="shared" si="52"/>
        <v>0.53968698111942104</v>
      </c>
      <c r="H362">
        <f t="shared" si="53"/>
        <v>1.7942733225574828E-3</v>
      </c>
      <c r="I362">
        <f t="shared" si="54"/>
        <v>300.7830380881847</v>
      </c>
      <c r="J362">
        <f t="shared" si="55"/>
        <v>557.32868979774025</v>
      </c>
    </row>
    <row r="363" spans="1:13" x14ac:dyDescent="0.25">
      <c r="A363" t="s">
        <v>6</v>
      </c>
      <c r="B363" t="s">
        <v>33</v>
      </c>
      <c r="C363" t="s">
        <v>34</v>
      </c>
      <c r="D363">
        <v>1142</v>
      </c>
      <c r="E363" t="s">
        <v>51</v>
      </c>
      <c r="F363">
        <v>0.32548097099600598</v>
      </c>
      <c r="G363">
        <f t="shared" si="52"/>
        <v>0.32548097099600598</v>
      </c>
      <c r="H363">
        <f t="shared" si="53"/>
        <v>7.8426503291183962E-4</v>
      </c>
      <c r="I363">
        <f t="shared" si="54"/>
        <v>415.01400334980099</v>
      </c>
      <c r="J363">
        <f t="shared" si="55"/>
        <v>1275.0791607872329</v>
      </c>
      <c r="K363">
        <f t="shared" ref="K363:L363" si="60">SUM(I363:I381)</f>
        <v>3426.6147129987985</v>
      </c>
      <c r="L363">
        <f t="shared" si="60"/>
        <v>11374.265313690588</v>
      </c>
      <c r="M363">
        <f t="shared" ref="M363" si="61">K363/L363</f>
        <v>0.30126031163299555</v>
      </c>
    </row>
    <row r="364" spans="1:13" x14ac:dyDescent="0.25">
      <c r="A364" t="s">
        <v>9</v>
      </c>
      <c r="B364" t="s">
        <v>33</v>
      </c>
      <c r="C364" t="s">
        <v>34</v>
      </c>
      <c r="D364">
        <v>1128</v>
      </c>
      <c r="E364" t="s">
        <v>51</v>
      </c>
      <c r="F364">
        <v>0.37507722489824102</v>
      </c>
      <c r="G364">
        <f t="shared" si="52"/>
        <v>0.37507722489824102</v>
      </c>
      <c r="H364">
        <f t="shared" si="53"/>
        <v>7.6315903673413355E-4</v>
      </c>
      <c r="I364">
        <f t="shared" si="54"/>
        <v>491.47976613544182</v>
      </c>
      <c r="J364">
        <f t="shared" si="55"/>
        <v>1310.342866775718</v>
      </c>
    </row>
    <row r="365" spans="1:13" x14ac:dyDescent="0.25">
      <c r="A365" t="s">
        <v>10</v>
      </c>
      <c r="B365" t="s">
        <v>33</v>
      </c>
      <c r="C365" t="s">
        <v>34</v>
      </c>
      <c r="D365">
        <v>414</v>
      </c>
      <c r="E365" t="s">
        <v>51</v>
      </c>
      <c r="F365">
        <v>0.37149717802412002</v>
      </c>
      <c r="G365">
        <f t="shared" si="52"/>
        <v>0.37149717802412002</v>
      </c>
      <c r="H365">
        <f t="shared" si="53"/>
        <v>2.0922083658255226E-3</v>
      </c>
      <c r="I365">
        <f t="shared" si="54"/>
        <v>177.56222759272754</v>
      </c>
      <c r="J365">
        <f t="shared" si="55"/>
        <v>477.96386647437481</v>
      </c>
    </row>
    <row r="366" spans="1:13" x14ac:dyDescent="0.25">
      <c r="A366" t="s">
        <v>11</v>
      </c>
      <c r="B366" t="s">
        <v>33</v>
      </c>
      <c r="C366" t="s">
        <v>34</v>
      </c>
      <c r="D366">
        <v>395</v>
      </c>
      <c r="E366" t="s">
        <v>51</v>
      </c>
      <c r="F366">
        <v>0.35094149718672601</v>
      </c>
      <c r="G366">
        <f t="shared" si="52"/>
        <v>0.35094149718672601</v>
      </c>
      <c r="H366">
        <f t="shared" si="53"/>
        <v>2.231145204967784E-3</v>
      </c>
      <c r="I366">
        <f t="shared" si="54"/>
        <v>157.29209215309379</v>
      </c>
      <c r="J366">
        <f t="shared" si="55"/>
        <v>448.20032231583923</v>
      </c>
    </row>
    <row r="367" spans="1:13" x14ac:dyDescent="0.25">
      <c r="A367" t="s">
        <v>12</v>
      </c>
      <c r="B367" t="s">
        <v>33</v>
      </c>
      <c r="C367" t="s">
        <v>34</v>
      </c>
      <c r="D367">
        <v>415</v>
      </c>
      <c r="E367" t="s">
        <v>51</v>
      </c>
      <c r="F367">
        <v>0.27238367720699802</v>
      </c>
      <c r="G367">
        <f t="shared" si="52"/>
        <v>0.27238367720699802</v>
      </c>
      <c r="H367">
        <f t="shared" si="53"/>
        <v>2.2416637588164503E-3</v>
      </c>
      <c r="I367">
        <f t="shared" si="54"/>
        <v>121.50960470129145</v>
      </c>
      <c r="J367">
        <f t="shared" si="55"/>
        <v>446.09723294450646</v>
      </c>
    </row>
    <row r="368" spans="1:13" x14ac:dyDescent="0.25">
      <c r="A368" t="s">
        <v>13</v>
      </c>
      <c r="B368" t="s">
        <v>33</v>
      </c>
      <c r="C368" t="s">
        <v>34</v>
      </c>
      <c r="D368">
        <v>1006</v>
      </c>
      <c r="E368" t="s">
        <v>51</v>
      </c>
      <c r="F368">
        <v>0.404532968479907</v>
      </c>
      <c r="G368">
        <f t="shared" si="52"/>
        <v>0.404532968479907</v>
      </c>
      <c r="H368">
        <f t="shared" si="53"/>
        <v>8.3302099343907825E-4</v>
      </c>
      <c r="I368">
        <f t="shared" si="54"/>
        <v>485.62157696628555</v>
      </c>
      <c r="J368">
        <f t="shared" si="55"/>
        <v>1200.4499380880652</v>
      </c>
    </row>
    <row r="369" spans="1:13" x14ac:dyDescent="0.25">
      <c r="A369" t="s">
        <v>14</v>
      </c>
      <c r="B369" t="s">
        <v>33</v>
      </c>
      <c r="C369" t="s">
        <v>34</v>
      </c>
      <c r="D369">
        <v>246</v>
      </c>
      <c r="E369" t="s">
        <v>51</v>
      </c>
      <c r="F369">
        <v>0.15519900411003301</v>
      </c>
      <c r="G369">
        <f t="shared" si="52"/>
        <v>0.15519900411003301</v>
      </c>
      <c r="H369">
        <f t="shared" si="53"/>
        <v>3.999644545587106E-3</v>
      </c>
      <c r="I369">
        <f t="shared" si="54"/>
        <v>38.803199219607507</v>
      </c>
      <c r="J369">
        <f t="shared" si="55"/>
        <v>250.02221787516632</v>
      </c>
    </row>
    <row r="370" spans="1:13" x14ac:dyDescent="0.25">
      <c r="A370" t="s">
        <v>15</v>
      </c>
      <c r="B370" t="s">
        <v>33</v>
      </c>
      <c r="C370" t="s">
        <v>34</v>
      </c>
      <c r="D370">
        <v>246</v>
      </c>
      <c r="E370" t="s">
        <v>51</v>
      </c>
      <c r="F370">
        <v>0.71312782034494404</v>
      </c>
      <c r="G370">
        <f t="shared" si="52"/>
        <v>0.71312782034494404</v>
      </c>
      <c r="H370">
        <f t="shared" si="53"/>
        <v>2.0141340649593E-3</v>
      </c>
      <c r="I370">
        <f t="shared" si="54"/>
        <v>354.061744325522</v>
      </c>
      <c r="J370">
        <f t="shared" si="55"/>
        <v>496.49127999838839</v>
      </c>
    </row>
    <row r="371" spans="1:13" x14ac:dyDescent="0.25">
      <c r="A371" t="s">
        <v>16</v>
      </c>
      <c r="B371" t="s">
        <v>33</v>
      </c>
      <c r="C371" t="s">
        <v>34</v>
      </c>
      <c r="D371">
        <v>246</v>
      </c>
      <c r="E371" t="s">
        <v>51</v>
      </c>
      <c r="F371">
        <v>3.5270220977294403E-2</v>
      </c>
      <c r="G371">
        <f t="shared" si="52"/>
        <v>3.5270220977294403E-2</v>
      </c>
      <c r="H371">
        <f t="shared" si="53"/>
        <v>4.0932623422631677E-3</v>
      </c>
      <c r="I371">
        <f t="shared" si="54"/>
        <v>8.6166529355148711</v>
      </c>
      <c r="J371">
        <f t="shared" si="55"/>
        <v>244.30391125312025</v>
      </c>
    </row>
    <row r="372" spans="1:13" x14ac:dyDescent="0.25">
      <c r="A372" t="s">
        <v>17</v>
      </c>
      <c r="B372" t="s">
        <v>33</v>
      </c>
      <c r="C372" t="s">
        <v>34</v>
      </c>
      <c r="D372">
        <v>246</v>
      </c>
      <c r="E372" t="s">
        <v>51</v>
      </c>
      <c r="F372">
        <v>0.50797775006274104</v>
      </c>
      <c r="G372">
        <f t="shared" si="52"/>
        <v>0.50797775006274104</v>
      </c>
      <c r="H372">
        <f t="shared" si="53"/>
        <v>3.0408139567262107E-3</v>
      </c>
      <c r="I372">
        <f t="shared" si="54"/>
        <v>167.05321578096087</v>
      </c>
      <c r="J372">
        <f t="shared" si="55"/>
        <v>328.85931669315806</v>
      </c>
    </row>
    <row r="373" spans="1:13" x14ac:dyDescent="0.25">
      <c r="A373" t="s">
        <v>18</v>
      </c>
      <c r="B373" t="s">
        <v>33</v>
      </c>
      <c r="C373" t="s">
        <v>34</v>
      </c>
      <c r="D373">
        <v>246</v>
      </c>
      <c r="E373" t="s">
        <v>51</v>
      </c>
      <c r="F373">
        <v>0.35089951483551302</v>
      </c>
      <c r="G373">
        <f t="shared" si="52"/>
        <v>0.35089951483551302</v>
      </c>
      <c r="H373">
        <f t="shared" si="53"/>
        <v>3.5937275839680394E-3</v>
      </c>
      <c r="I373">
        <f t="shared" si="54"/>
        <v>97.642213171891257</v>
      </c>
      <c r="J373">
        <f t="shared" si="55"/>
        <v>278.26260522948235</v>
      </c>
    </row>
    <row r="374" spans="1:13" x14ac:dyDescent="0.25">
      <c r="A374" t="s">
        <v>19</v>
      </c>
      <c r="B374" t="s">
        <v>33</v>
      </c>
      <c r="C374" t="s">
        <v>34</v>
      </c>
      <c r="D374">
        <v>266</v>
      </c>
      <c r="E374" t="s">
        <v>51</v>
      </c>
      <c r="F374">
        <v>0.168949059652405</v>
      </c>
      <c r="G374">
        <f t="shared" si="52"/>
        <v>0.168949059652405</v>
      </c>
      <c r="H374">
        <f t="shared" si="53"/>
        <v>3.6797583910703337E-3</v>
      </c>
      <c r="I374">
        <f t="shared" si="54"/>
        <v>45.913084962967552</v>
      </c>
      <c r="J374">
        <f t="shared" si="55"/>
        <v>271.75697253023435</v>
      </c>
    </row>
    <row r="375" spans="1:13" x14ac:dyDescent="0.25">
      <c r="A375" t="s">
        <v>20</v>
      </c>
      <c r="B375" t="s">
        <v>33</v>
      </c>
      <c r="C375" t="s">
        <v>34</v>
      </c>
      <c r="D375">
        <v>245</v>
      </c>
      <c r="E375" t="s">
        <v>51</v>
      </c>
      <c r="F375">
        <v>0.35870028991819503</v>
      </c>
      <c r="G375">
        <f t="shared" si="52"/>
        <v>0.35870028991819503</v>
      </c>
      <c r="H375">
        <f t="shared" si="53"/>
        <v>3.5857370453193532E-3</v>
      </c>
      <c r="I375">
        <f t="shared" si="54"/>
        <v>100.03530247328787</v>
      </c>
      <c r="J375">
        <f t="shared" si="55"/>
        <v>278.88269199922269</v>
      </c>
    </row>
    <row r="376" spans="1:13" x14ac:dyDescent="0.25">
      <c r="A376" t="s">
        <v>21</v>
      </c>
      <c r="B376" t="s">
        <v>33</v>
      </c>
      <c r="C376" t="s">
        <v>34</v>
      </c>
      <c r="D376">
        <v>394</v>
      </c>
      <c r="E376" t="s">
        <v>51</v>
      </c>
      <c r="F376">
        <v>0.446693824346163</v>
      </c>
      <c r="G376">
        <f t="shared" si="52"/>
        <v>0.446693824346163</v>
      </c>
      <c r="H376">
        <f t="shared" si="53"/>
        <v>2.0420016002321408E-3</v>
      </c>
      <c r="I376">
        <f t="shared" si="54"/>
        <v>218.75292570553398</v>
      </c>
      <c r="J376">
        <f t="shared" si="55"/>
        <v>489.71558097031709</v>
      </c>
    </row>
    <row r="377" spans="1:13" x14ac:dyDescent="0.25">
      <c r="A377" t="s">
        <v>22</v>
      </c>
      <c r="B377" t="s">
        <v>33</v>
      </c>
      <c r="C377" t="s">
        <v>34</v>
      </c>
      <c r="D377">
        <v>398</v>
      </c>
      <c r="E377" t="s">
        <v>51</v>
      </c>
      <c r="F377">
        <v>0.25202902522787801</v>
      </c>
      <c r="G377">
        <f t="shared" si="52"/>
        <v>0.25202902522787801</v>
      </c>
      <c r="H377">
        <f t="shared" si="53"/>
        <v>2.3648519455623375E-3</v>
      </c>
      <c r="I377">
        <f t="shared" si="54"/>
        <v>106.57285573450481</v>
      </c>
      <c r="J377">
        <f t="shared" si="55"/>
        <v>422.8594529465185</v>
      </c>
    </row>
    <row r="378" spans="1:13" x14ac:dyDescent="0.25">
      <c r="A378" t="s">
        <v>23</v>
      </c>
      <c r="B378" t="s">
        <v>33</v>
      </c>
      <c r="C378" t="s">
        <v>34</v>
      </c>
      <c r="D378">
        <v>1127</v>
      </c>
      <c r="E378" t="s">
        <v>51</v>
      </c>
      <c r="F378">
        <v>0.13009310121970999</v>
      </c>
      <c r="G378">
        <f t="shared" si="52"/>
        <v>0.13009310121970999</v>
      </c>
      <c r="H378">
        <f t="shared" si="53"/>
        <v>8.7384514223558967E-4</v>
      </c>
      <c r="I378">
        <f t="shared" si="54"/>
        <v>148.8743198673487</v>
      </c>
      <c r="J378">
        <f t="shared" si="55"/>
        <v>1144.3675219635184</v>
      </c>
    </row>
    <row r="379" spans="1:13" x14ac:dyDescent="0.25">
      <c r="A379" t="s">
        <v>24</v>
      </c>
      <c r="B379" t="s">
        <v>33</v>
      </c>
      <c r="C379" t="s">
        <v>34</v>
      </c>
      <c r="D379">
        <v>1137</v>
      </c>
      <c r="E379" t="s">
        <v>51</v>
      </c>
      <c r="F379">
        <v>9.39934336626288E-2</v>
      </c>
      <c r="G379">
        <f t="shared" si="52"/>
        <v>9.39934336626288E-2</v>
      </c>
      <c r="H379">
        <f t="shared" si="53"/>
        <v>8.7327333429806952E-4</v>
      </c>
      <c r="I379">
        <f t="shared" si="54"/>
        <v>107.63346362588754</v>
      </c>
      <c r="J379">
        <f t="shared" si="55"/>
        <v>1145.116838823199</v>
      </c>
    </row>
    <row r="380" spans="1:13" x14ac:dyDescent="0.25">
      <c r="A380" t="s">
        <v>25</v>
      </c>
      <c r="B380" t="s">
        <v>33</v>
      </c>
      <c r="C380" t="s">
        <v>34</v>
      </c>
      <c r="D380">
        <v>415</v>
      </c>
      <c r="E380" t="s">
        <v>51</v>
      </c>
      <c r="F380">
        <v>6.1137101509070403E-2</v>
      </c>
      <c r="G380">
        <f t="shared" si="52"/>
        <v>6.1137101509070403E-2</v>
      </c>
      <c r="H380">
        <f t="shared" si="53"/>
        <v>2.4122572755909677E-3</v>
      </c>
      <c r="I380">
        <f t="shared" si="54"/>
        <v>25.344353658998795</v>
      </c>
      <c r="J380">
        <f t="shared" si="55"/>
        <v>414.54948032233199</v>
      </c>
    </row>
    <row r="381" spans="1:13" x14ac:dyDescent="0.25">
      <c r="A381" t="s">
        <v>26</v>
      </c>
      <c r="B381" t="s">
        <v>33</v>
      </c>
      <c r="C381" t="s">
        <v>34</v>
      </c>
      <c r="D381">
        <v>397</v>
      </c>
      <c r="E381" t="s">
        <v>51</v>
      </c>
      <c r="F381">
        <v>0.35222132020680003</v>
      </c>
      <c r="G381">
        <f t="shared" si="52"/>
        <v>0.35222132020680003</v>
      </c>
      <c r="H381">
        <f t="shared" si="53"/>
        <v>2.2175699787133642E-3</v>
      </c>
      <c r="I381">
        <f t="shared" si="54"/>
        <v>158.83211063813152</v>
      </c>
      <c r="J381">
        <f t="shared" si="55"/>
        <v>450.94405570019518</v>
      </c>
    </row>
    <row r="382" spans="1:13" x14ac:dyDescent="0.25">
      <c r="A382" t="s">
        <v>6</v>
      </c>
      <c r="B382" t="s">
        <v>35</v>
      </c>
      <c r="C382" t="s">
        <v>36</v>
      </c>
      <c r="D382">
        <v>1142</v>
      </c>
      <c r="E382" t="s">
        <v>51</v>
      </c>
      <c r="F382">
        <v>0.59580428401704899</v>
      </c>
      <c r="G382">
        <f t="shared" si="52"/>
        <v>0.59580428401704899</v>
      </c>
      <c r="H382">
        <f t="shared" si="53"/>
        <v>5.6580460977801025E-4</v>
      </c>
      <c r="I382">
        <f t="shared" si="54"/>
        <v>1053.021261616813</v>
      </c>
      <c r="J382">
        <f t="shared" si="55"/>
        <v>1767.3945788323349</v>
      </c>
      <c r="K382">
        <f t="shared" ref="K382:L382" si="62">SUM(I382:I400)</f>
        <v>4014.815534640582</v>
      </c>
      <c r="L382">
        <f t="shared" si="62"/>
        <v>11831.320314844912</v>
      </c>
      <c r="M382">
        <f t="shared" ref="M382" si="63">K382/L382</f>
        <v>0.33933791223648474</v>
      </c>
    </row>
    <row r="383" spans="1:13" x14ac:dyDescent="0.25">
      <c r="A383" t="s">
        <v>9</v>
      </c>
      <c r="B383" t="s">
        <v>35</v>
      </c>
      <c r="C383" t="s">
        <v>36</v>
      </c>
      <c r="D383">
        <v>1128</v>
      </c>
      <c r="E383" t="s">
        <v>51</v>
      </c>
      <c r="F383">
        <v>0.46170768854172101</v>
      </c>
      <c r="G383">
        <f t="shared" si="52"/>
        <v>0.46170768854172101</v>
      </c>
      <c r="H383">
        <f t="shared" si="53"/>
        <v>6.9877976051639537E-4</v>
      </c>
      <c r="I383">
        <f t="shared" si="54"/>
        <v>660.73420357870828</v>
      </c>
      <c r="J383">
        <f t="shared" si="55"/>
        <v>1431.0660618747802</v>
      </c>
    </row>
    <row r="384" spans="1:13" x14ac:dyDescent="0.25">
      <c r="A384" t="s">
        <v>10</v>
      </c>
      <c r="B384" t="s">
        <v>35</v>
      </c>
      <c r="C384" t="s">
        <v>36</v>
      </c>
      <c r="D384">
        <v>414</v>
      </c>
      <c r="E384" t="s">
        <v>51</v>
      </c>
      <c r="F384">
        <v>0.22723535295173</v>
      </c>
      <c r="G384">
        <f t="shared" si="52"/>
        <v>0.22723535295173</v>
      </c>
      <c r="H384">
        <f t="shared" si="53"/>
        <v>2.3018545979827734E-3</v>
      </c>
      <c r="I384">
        <f t="shared" si="54"/>
        <v>98.718378281090096</v>
      </c>
      <c r="J384">
        <f t="shared" si="55"/>
        <v>434.43230553152591</v>
      </c>
    </row>
    <row r="385" spans="1:10" x14ac:dyDescent="0.25">
      <c r="A385" t="s">
        <v>11</v>
      </c>
      <c r="B385" t="s">
        <v>35</v>
      </c>
      <c r="C385" t="s">
        <v>36</v>
      </c>
      <c r="D385">
        <v>395</v>
      </c>
      <c r="E385" t="s">
        <v>51</v>
      </c>
      <c r="F385">
        <v>0.415976494354795</v>
      </c>
      <c r="G385">
        <f t="shared" si="52"/>
        <v>0.415976494354795</v>
      </c>
      <c r="H385">
        <f t="shared" si="53"/>
        <v>2.104232967288283E-3</v>
      </c>
      <c r="I385">
        <f t="shared" si="54"/>
        <v>197.6855703819061</v>
      </c>
      <c r="J385">
        <f t="shared" si="55"/>
        <v>475.23255055199337</v>
      </c>
    </row>
    <row r="386" spans="1:10" x14ac:dyDescent="0.25">
      <c r="A386" t="s">
        <v>12</v>
      </c>
      <c r="B386" t="s">
        <v>35</v>
      </c>
      <c r="C386" t="s">
        <v>36</v>
      </c>
      <c r="D386">
        <v>415</v>
      </c>
      <c r="E386" t="s">
        <v>51</v>
      </c>
      <c r="F386">
        <v>0.43204516035698898</v>
      </c>
      <c r="G386">
        <f t="shared" si="52"/>
        <v>0.43204516035698898</v>
      </c>
      <c r="H386">
        <f t="shared" si="53"/>
        <v>1.9693389332012196E-3</v>
      </c>
      <c r="I386">
        <f t="shared" si="54"/>
        <v>219.38588278183613</v>
      </c>
      <c r="J386">
        <f t="shared" si="55"/>
        <v>507.78460890653798</v>
      </c>
    </row>
    <row r="387" spans="1:10" x14ac:dyDescent="0.25">
      <c r="A387" t="s">
        <v>13</v>
      </c>
      <c r="B387" t="s">
        <v>35</v>
      </c>
      <c r="C387" t="s">
        <v>36</v>
      </c>
      <c r="D387">
        <v>1006</v>
      </c>
      <c r="E387" t="s">
        <v>51</v>
      </c>
      <c r="F387">
        <v>8.3149289898655707E-2</v>
      </c>
      <c r="G387">
        <f t="shared" ref="G387:G450" si="64">AVERAGE(F387)</f>
        <v>8.3149289898655707E-2</v>
      </c>
      <c r="H387">
        <f t="shared" ref="H387:H450" si="65">(1-G387^2)/(D387-2)</f>
        <v>9.8912967688182191E-4</v>
      </c>
      <c r="I387">
        <f t="shared" ref="I387:I450" si="66">G387/H387</f>
        <v>84.063082770683181</v>
      </c>
      <c r="J387">
        <f t="shared" ref="J387:J450" si="67">1/H387</f>
        <v>1010.9897856390744</v>
      </c>
    </row>
    <row r="388" spans="1:10" x14ac:dyDescent="0.25">
      <c r="A388" t="s">
        <v>14</v>
      </c>
      <c r="B388" t="s">
        <v>35</v>
      </c>
      <c r="C388" t="s">
        <v>36</v>
      </c>
      <c r="D388">
        <v>246</v>
      </c>
      <c r="E388" t="s">
        <v>51</v>
      </c>
      <c r="F388">
        <v>0.18978520882809199</v>
      </c>
      <c r="G388">
        <f t="shared" si="64"/>
        <v>0.18978520882809199</v>
      </c>
      <c r="H388">
        <f t="shared" si="65"/>
        <v>3.9507441578281862E-3</v>
      </c>
      <c r="I388">
        <f t="shared" si="66"/>
        <v>48.037838251824745</v>
      </c>
      <c r="J388">
        <f t="shared" si="67"/>
        <v>253.11687116427268</v>
      </c>
    </row>
    <row r="389" spans="1:10" x14ac:dyDescent="0.25">
      <c r="A389" t="s">
        <v>15</v>
      </c>
      <c r="B389" t="s">
        <v>35</v>
      </c>
      <c r="C389" t="s">
        <v>36</v>
      </c>
      <c r="D389">
        <v>246</v>
      </c>
      <c r="E389" t="s">
        <v>51</v>
      </c>
      <c r="F389">
        <v>0.18678607156961899</v>
      </c>
      <c r="G389">
        <f t="shared" si="64"/>
        <v>0.18678607156961899</v>
      </c>
      <c r="H389">
        <f t="shared" si="65"/>
        <v>3.9553728010966772E-3</v>
      </c>
      <c r="I389">
        <f t="shared" si="66"/>
        <v>47.223379681892482</v>
      </c>
      <c r="J389">
        <f t="shared" si="67"/>
        <v>252.82066957702125</v>
      </c>
    </row>
    <row r="390" spans="1:10" x14ac:dyDescent="0.25">
      <c r="A390" t="s">
        <v>16</v>
      </c>
      <c r="B390" t="s">
        <v>35</v>
      </c>
      <c r="C390" t="s">
        <v>36</v>
      </c>
      <c r="D390">
        <v>246</v>
      </c>
      <c r="E390" t="s">
        <v>51</v>
      </c>
      <c r="F390">
        <v>7.1591307719259797E-2</v>
      </c>
      <c r="G390">
        <f t="shared" si="64"/>
        <v>7.1591307719259797E-2</v>
      </c>
      <c r="H390">
        <f t="shared" si="65"/>
        <v>4.0773552649960914E-3</v>
      </c>
      <c r="I390">
        <f t="shared" si="66"/>
        <v>17.558270757975862</v>
      </c>
      <c r="J390">
        <f t="shared" si="67"/>
        <v>245.25701956485233</v>
      </c>
    </row>
    <row r="391" spans="1:10" x14ac:dyDescent="0.25">
      <c r="A391" t="s">
        <v>17</v>
      </c>
      <c r="B391" t="s">
        <v>35</v>
      </c>
      <c r="C391" t="s">
        <v>36</v>
      </c>
      <c r="D391">
        <v>246</v>
      </c>
      <c r="E391" t="s">
        <v>51</v>
      </c>
      <c r="F391">
        <v>0.17613179556365899</v>
      </c>
      <c r="G391">
        <f t="shared" si="64"/>
        <v>0.17613179556365899</v>
      </c>
      <c r="H391">
        <f t="shared" si="65"/>
        <v>3.9712196335718094E-3</v>
      </c>
      <c r="I391">
        <f t="shared" si="66"/>
        <v>44.352066069244792</v>
      </c>
      <c r="J391">
        <f t="shared" si="67"/>
        <v>251.81180903373411</v>
      </c>
    </row>
    <row r="392" spans="1:10" x14ac:dyDescent="0.25">
      <c r="A392" t="s">
        <v>18</v>
      </c>
      <c r="B392" t="s">
        <v>35</v>
      </c>
      <c r="C392" t="s">
        <v>36</v>
      </c>
      <c r="D392">
        <v>246</v>
      </c>
      <c r="E392" t="s">
        <v>51</v>
      </c>
      <c r="F392">
        <v>0.174654211738237</v>
      </c>
      <c r="G392">
        <f t="shared" si="64"/>
        <v>0.174654211738237</v>
      </c>
      <c r="H392">
        <f t="shared" si="65"/>
        <v>3.9733438783692418E-3</v>
      </c>
      <c r="I392">
        <f t="shared" si="66"/>
        <v>43.956480255597562</v>
      </c>
      <c r="J392">
        <f t="shared" si="67"/>
        <v>251.67718440982878</v>
      </c>
    </row>
    <row r="393" spans="1:10" x14ac:dyDescent="0.25">
      <c r="A393" t="s">
        <v>19</v>
      </c>
      <c r="B393" t="s">
        <v>35</v>
      </c>
      <c r="C393" t="s">
        <v>36</v>
      </c>
      <c r="D393">
        <v>266</v>
      </c>
      <c r="E393" t="s">
        <v>51</v>
      </c>
      <c r="F393">
        <v>-0.153234674390308</v>
      </c>
      <c r="G393">
        <f t="shared" si="64"/>
        <v>-0.153234674390308</v>
      </c>
      <c r="H393">
        <f t="shared" si="65"/>
        <v>3.6989361157746068E-3</v>
      </c>
      <c r="I393">
        <f t="shared" si="66"/>
        <v>-41.426688538041596</v>
      </c>
      <c r="J393">
        <f t="shared" si="67"/>
        <v>270.34800512919554</v>
      </c>
    </row>
    <row r="394" spans="1:10" x14ac:dyDescent="0.25">
      <c r="A394" t="s">
        <v>20</v>
      </c>
      <c r="B394" t="s">
        <v>35</v>
      </c>
      <c r="C394" t="s">
        <v>36</v>
      </c>
      <c r="D394">
        <v>245</v>
      </c>
      <c r="E394" t="s">
        <v>51</v>
      </c>
      <c r="F394">
        <v>0.17732156601999699</v>
      </c>
      <c r="G394">
        <f t="shared" si="64"/>
        <v>0.17732156601999699</v>
      </c>
      <c r="H394">
        <f t="shared" si="65"/>
        <v>3.9858315317868971E-3</v>
      </c>
      <c r="I394">
        <f t="shared" si="66"/>
        <v>44.487973113229287</v>
      </c>
      <c r="J394">
        <f t="shared" si="67"/>
        <v>250.8886770614933</v>
      </c>
    </row>
    <row r="395" spans="1:10" x14ac:dyDescent="0.25">
      <c r="A395" t="s">
        <v>21</v>
      </c>
      <c r="B395" t="s">
        <v>35</v>
      </c>
      <c r="C395" t="s">
        <v>36</v>
      </c>
      <c r="D395">
        <v>394</v>
      </c>
      <c r="E395" t="s">
        <v>51</v>
      </c>
      <c r="F395">
        <v>0.38476778705250197</v>
      </c>
      <c r="G395">
        <f t="shared" si="64"/>
        <v>0.38476778705250197</v>
      </c>
      <c r="H395">
        <f t="shared" si="65"/>
        <v>2.1733514031804092E-3</v>
      </c>
      <c r="I395">
        <f t="shared" si="66"/>
        <v>177.03892085258084</v>
      </c>
      <c r="J395">
        <f t="shared" si="67"/>
        <v>460.11887379861059</v>
      </c>
    </row>
    <row r="396" spans="1:10" x14ac:dyDescent="0.25">
      <c r="A396" t="s">
        <v>22</v>
      </c>
      <c r="B396" t="s">
        <v>35</v>
      </c>
      <c r="C396" t="s">
        <v>36</v>
      </c>
      <c r="D396">
        <v>398</v>
      </c>
      <c r="E396" t="s">
        <v>51</v>
      </c>
      <c r="F396">
        <v>0.40880087437340901</v>
      </c>
      <c r="G396">
        <f t="shared" si="64"/>
        <v>0.40880087437340901</v>
      </c>
      <c r="H396">
        <f t="shared" si="65"/>
        <v>2.1032369826048895E-3</v>
      </c>
      <c r="I396">
        <f t="shared" si="66"/>
        <v>194.36748105632071</v>
      </c>
      <c r="J396">
        <f t="shared" si="67"/>
        <v>475.45759620558096</v>
      </c>
    </row>
    <row r="397" spans="1:10" x14ac:dyDescent="0.25">
      <c r="A397" t="s">
        <v>23</v>
      </c>
      <c r="B397" t="s">
        <v>35</v>
      </c>
      <c r="C397" t="s">
        <v>36</v>
      </c>
      <c r="D397">
        <v>1127</v>
      </c>
      <c r="E397" t="s">
        <v>51</v>
      </c>
      <c r="F397">
        <v>0.145734933918582</v>
      </c>
      <c r="G397">
        <f t="shared" si="64"/>
        <v>0.145734933918582</v>
      </c>
      <c r="H397">
        <f t="shared" si="65"/>
        <v>8.700100702539969E-4</v>
      </c>
      <c r="I397">
        <f t="shared" si="66"/>
        <v>167.50947937422737</v>
      </c>
      <c r="J397">
        <f t="shared" si="67"/>
        <v>1149.4119829073391</v>
      </c>
    </row>
    <row r="398" spans="1:10" x14ac:dyDescent="0.25">
      <c r="A398" t="s">
        <v>24</v>
      </c>
      <c r="B398" t="s">
        <v>35</v>
      </c>
      <c r="C398" t="s">
        <v>36</v>
      </c>
      <c r="D398">
        <v>1137</v>
      </c>
      <c r="E398" t="s">
        <v>51</v>
      </c>
      <c r="F398">
        <v>0.398277730299536</v>
      </c>
      <c r="G398">
        <f t="shared" si="64"/>
        <v>0.398277730299536</v>
      </c>
      <c r="H398">
        <f t="shared" si="65"/>
        <v>7.4129942691405289E-4</v>
      </c>
      <c r="I398">
        <f t="shared" si="66"/>
        <v>537.26971293843019</v>
      </c>
      <c r="J398">
        <f t="shared" si="67"/>
        <v>1348.9825618278012</v>
      </c>
    </row>
    <row r="399" spans="1:10" x14ac:dyDescent="0.25">
      <c r="A399" t="s">
        <v>25</v>
      </c>
      <c r="B399" t="s">
        <v>35</v>
      </c>
      <c r="C399" t="s">
        <v>36</v>
      </c>
      <c r="D399">
        <v>415</v>
      </c>
      <c r="E399" t="s">
        <v>51</v>
      </c>
      <c r="F399">
        <v>0.32404537463794902</v>
      </c>
      <c r="G399">
        <f t="shared" si="64"/>
        <v>0.32404537463794902</v>
      </c>
      <c r="H399">
        <f t="shared" si="65"/>
        <v>2.1670571311761533E-3</v>
      </c>
      <c r="I399">
        <f t="shared" si="66"/>
        <v>149.53245577890044</v>
      </c>
      <c r="J399">
        <f t="shared" si="67"/>
        <v>461.45530065340631</v>
      </c>
    </row>
    <row r="400" spans="1:10" x14ac:dyDescent="0.25">
      <c r="A400" t="s">
        <v>26</v>
      </c>
      <c r="B400" t="s">
        <v>35</v>
      </c>
      <c r="C400" t="s">
        <v>36</v>
      </c>
      <c r="D400">
        <v>397</v>
      </c>
      <c r="E400" t="s">
        <v>51</v>
      </c>
      <c r="F400">
        <v>0.50893468953967003</v>
      </c>
      <c r="G400">
        <f t="shared" si="64"/>
        <v>0.50893468953967003</v>
      </c>
      <c r="H400">
        <f t="shared" si="65"/>
        <v>1.8759126121092652E-3</v>
      </c>
      <c r="I400">
        <f t="shared" si="66"/>
        <v>271.29978563736336</v>
      </c>
      <c r="J400">
        <f t="shared" si="67"/>
        <v>533.07387217553048</v>
      </c>
    </row>
    <row r="401" spans="1:13" x14ac:dyDescent="0.25">
      <c r="A401" t="s">
        <v>6</v>
      </c>
      <c r="B401" t="s">
        <v>37</v>
      </c>
      <c r="C401" t="s">
        <v>38</v>
      </c>
      <c r="D401">
        <v>1142</v>
      </c>
      <c r="E401" t="s">
        <v>51</v>
      </c>
      <c r="F401">
        <v>0.35143650930163001</v>
      </c>
      <c r="G401">
        <f t="shared" si="64"/>
        <v>0.35143650930163001</v>
      </c>
      <c r="H401">
        <f t="shared" si="65"/>
        <v>7.6885296485077663E-4</v>
      </c>
      <c r="I401">
        <f t="shared" si="66"/>
        <v>457.09196084044339</v>
      </c>
      <c r="J401">
        <f t="shared" si="67"/>
        <v>1300.6388031476029</v>
      </c>
      <c r="K401">
        <f t="shared" ref="K401:L401" si="68">SUM(I401:I419)</f>
        <v>3437.1825985948522</v>
      </c>
      <c r="L401">
        <f t="shared" si="68"/>
        <v>11387.876264880011</v>
      </c>
      <c r="M401">
        <f t="shared" ref="M401" si="69">K401/L401</f>
        <v>0.30182823545379189</v>
      </c>
    </row>
    <row r="402" spans="1:13" x14ac:dyDescent="0.25">
      <c r="A402" t="s">
        <v>9</v>
      </c>
      <c r="B402" t="s">
        <v>37</v>
      </c>
      <c r="C402" t="s">
        <v>38</v>
      </c>
      <c r="D402">
        <v>1128</v>
      </c>
      <c r="E402" t="s">
        <v>51</v>
      </c>
      <c r="F402">
        <v>0.39553627118839602</v>
      </c>
      <c r="G402">
        <f t="shared" si="64"/>
        <v>0.39553627118839602</v>
      </c>
      <c r="H402">
        <f t="shared" si="65"/>
        <v>7.4915724527031943E-4</v>
      </c>
      <c r="I402">
        <f t="shared" si="66"/>
        <v>527.97496611765951</v>
      </c>
      <c r="J402">
        <f t="shared" si="67"/>
        <v>1334.8332493789987</v>
      </c>
    </row>
    <row r="403" spans="1:13" x14ac:dyDescent="0.25">
      <c r="A403" t="s">
        <v>10</v>
      </c>
      <c r="B403" t="s">
        <v>37</v>
      </c>
      <c r="C403" t="s">
        <v>38</v>
      </c>
      <c r="D403">
        <v>414</v>
      </c>
      <c r="E403" t="s">
        <v>51</v>
      </c>
      <c r="F403">
        <v>0.33746450060924099</v>
      </c>
      <c r="G403">
        <f t="shared" si="64"/>
        <v>0.33746450060924099</v>
      </c>
      <c r="H403">
        <f t="shared" si="65"/>
        <v>2.1507711427877566E-3</v>
      </c>
      <c r="I403">
        <f t="shared" si="66"/>
        <v>156.90395593267584</v>
      </c>
      <c r="J403">
        <f t="shared" si="67"/>
        <v>464.94951513243473</v>
      </c>
    </row>
    <row r="404" spans="1:13" x14ac:dyDescent="0.25">
      <c r="A404" t="s">
        <v>11</v>
      </c>
      <c r="B404" t="s">
        <v>37</v>
      </c>
      <c r="C404" t="s">
        <v>38</v>
      </c>
      <c r="D404">
        <v>395</v>
      </c>
      <c r="E404" t="s">
        <v>51</v>
      </c>
      <c r="F404">
        <v>0.39556001182271799</v>
      </c>
      <c r="G404">
        <f t="shared" si="64"/>
        <v>0.39556001182271799</v>
      </c>
      <c r="H404">
        <f t="shared" si="65"/>
        <v>2.1463925624600794E-3</v>
      </c>
      <c r="I404">
        <f t="shared" si="66"/>
        <v>184.29061800761573</v>
      </c>
      <c r="J404">
        <f t="shared" si="67"/>
        <v>465.89799903790851</v>
      </c>
    </row>
    <row r="405" spans="1:13" x14ac:dyDescent="0.25">
      <c r="A405" t="s">
        <v>12</v>
      </c>
      <c r="B405" t="s">
        <v>37</v>
      </c>
      <c r="C405" t="s">
        <v>38</v>
      </c>
      <c r="D405">
        <v>415</v>
      </c>
      <c r="E405" t="s">
        <v>51</v>
      </c>
      <c r="F405">
        <v>0.293870607844329</v>
      </c>
      <c r="G405">
        <f t="shared" si="64"/>
        <v>0.293870607844329</v>
      </c>
      <c r="H405">
        <f t="shared" si="65"/>
        <v>2.2122035492619968E-3</v>
      </c>
      <c r="I405">
        <f t="shared" si="66"/>
        <v>132.84067279539707</v>
      </c>
      <c r="J405">
        <f t="shared" si="67"/>
        <v>452.03796926083294</v>
      </c>
    </row>
    <row r="406" spans="1:13" x14ac:dyDescent="0.25">
      <c r="A406" t="s">
        <v>13</v>
      </c>
      <c r="B406" t="s">
        <v>37</v>
      </c>
      <c r="C406" t="s">
        <v>38</v>
      </c>
      <c r="D406">
        <v>1006</v>
      </c>
      <c r="E406" t="s">
        <v>51</v>
      </c>
      <c r="F406">
        <v>0.40482071516011803</v>
      </c>
      <c r="G406">
        <f t="shared" si="64"/>
        <v>0.40482071516011803</v>
      </c>
      <c r="H406">
        <f t="shared" si="65"/>
        <v>8.3278903244746075E-4</v>
      </c>
      <c r="I406">
        <f t="shared" si="66"/>
        <v>486.10236132721582</v>
      </c>
      <c r="J406">
        <f t="shared" si="67"/>
        <v>1200.7843055535056</v>
      </c>
    </row>
    <row r="407" spans="1:13" x14ac:dyDescent="0.25">
      <c r="A407" t="s">
        <v>14</v>
      </c>
      <c r="B407" t="s">
        <v>37</v>
      </c>
      <c r="C407" t="s">
        <v>38</v>
      </c>
      <c r="D407">
        <v>246</v>
      </c>
      <c r="E407" t="s">
        <v>51</v>
      </c>
      <c r="F407">
        <v>0.117136841309201</v>
      </c>
      <c r="G407">
        <f t="shared" si="64"/>
        <v>0.117136841309201</v>
      </c>
      <c r="H407">
        <f t="shared" si="65"/>
        <v>4.0421268869184554E-3</v>
      </c>
      <c r="I407">
        <f t="shared" si="66"/>
        <v>28.979011442785538</v>
      </c>
      <c r="J407">
        <f t="shared" si="67"/>
        <v>247.39450986467108</v>
      </c>
    </row>
    <row r="408" spans="1:13" x14ac:dyDescent="0.25">
      <c r="A408" t="s">
        <v>15</v>
      </c>
      <c r="B408" t="s">
        <v>37</v>
      </c>
      <c r="C408" t="s">
        <v>38</v>
      </c>
      <c r="D408">
        <v>246</v>
      </c>
      <c r="E408" t="s">
        <v>51</v>
      </c>
      <c r="F408">
        <v>0.68419040683684695</v>
      </c>
      <c r="G408">
        <f t="shared" si="64"/>
        <v>0.68419040683684695</v>
      </c>
      <c r="H408">
        <f t="shared" si="65"/>
        <v>2.179850357346024E-3</v>
      </c>
      <c r="I408">
        <f t="shared" si="66"/>
        <v>313.87035561002972</v>
      </c>
      <c r="J408">
        <f t="shared" si="67"/>
        <v>458.74708629885208</v>
      </c>
    </row>
    <row r="409" spans="1:13" x14ac:dyDescent="0.25">
      <c r="A409" t="s">
        <v>16</v>
      </c>
      <c r="B409" t="s">
        <v>37</v>
      </c>
      <c r="C409" t="s">
        <v>38</v>
      </c>
      <c r="D409">
        <v>246</v>
      </c>
      <c r="E409" t="s">
        <v>51</v>
      </c>
      <c r="F409">
        <v>4.53085526781732E-2</v>
      </c>
      <c r="G409">
        <f t="shared" si="64"/>
        <v>4.53085526781732E-2</v>
      </c>
      <c r="H409">
        <f t="shared" si="65"/>
        <v>4.0899472748123326E-3</v>
      </c>
      <c r="I409">
        <f t="shared" si="66"/>
        <v>11.078028549952929</v>
      </c>
      <c r="J409">
        <f t="shared" si="67"/>
        <v>244.50192944012585</v>
      </c>
    </row>
    <row r="410" spans="1:13" x14ac:dyDescent="0.25">
      <c r="A410" t="s">
        <v>17</v>
      </c>
      <c r="B410" t="s">
        <v>37</v>
      </c>
      <c r="C410" t="s">
        <v>38</v>
      </c>
      <c r="D410">
        <v>246</v>
      </c>
      <c r="E410" t="s">
        <v>51</v>
      </c>
      <c r="F410">
        <v>0.48774980892130099</v>
      </c>
      <c r="G410">
        <f t="shared" si="64"/>
        <v>0.48774980892130099</v>
      </c>
      <c r="H410">
        <f t="shared" si="65"/>
        <v>3.1233611635132557E-3</v>
      </c>
      <c r="I410">
        <f t="shared" si="66"/>
        <v>156.16183444269524</v>
      </c>
      <c r="J410">
        <f t="shared" si="67"/>
        <v>320.16790491022442</v>
      </c>
    </row>
    <row r="411" spans="1:13" x14ac:dyDescent="0.25">
      <c r="A411" t="s">
        <v>18</v>
      </c>
      <c r="B411" t="s">
        <v>37</v>
      </c>
      <c r="C411" t="s">
        <v>38</v>
      </c>
      <c r="D411">
        <v>246</v>
      </c>
      <c r="E411" t="s">
        <v>51</v>
      </c>
      <c r="F411">
        <v>0.255474673111309</v>
      </c>
      <c r="G411">
        <f t="shared" si="64"/>
        <v>0.255474673111309</v>
      </c>
      <c r="H411">
        <f t="shared" si="65"/>
        <v>3.8308716860601219E-3</v>
      </c>
      <c r="I411">
        <f t="shared" si="66"/>
        <v>66.688392106928831</v>
      </c>
      <c r="J411">
        <f t="shared" si="67"/>
        <v>261.03719517383644</v>
      </c>
    </row>
    <row r="412" spans="1:13" x14ac:dyDescent="0.25">
      <c r="A412" t="s">
        <v>19</v>
      </c>
      <c r="B412" t="s">
        <v>37</v>
      </c>
      <c r="C412" t="s">
        <v>38</v>
      </c>
      <c r="D412">
        <v>266</v>
      </c>
      <c r="E412" t="s">
        <v>51</v>
      </c>
      <c r="F412">
        <v>0.13170601166509099</v>
      </c>
      <c r="G412">
        <f t="shared" si="64"/>
        <v>0.13170601166509099</v>
      </c>
      <c r="H412">
        <f t="shared" si="65"/>
        <v>3.7221724488305866E-3</v>
      </c>
      <c r="I412">
        <f t="shared" si="66"/>
        <v>35.384177782109404</v>
      </c>
      <c r="J412">
        <f t="shared" si="67"/>
        <v>268.66030893173019</v>
      </c>
    </row>
    <row r="413" spans="1:13" x14ac:dyDescent="0.25">
      <c r="A413" t="s">
        <v>20</v>
      </c>
      <c r="B413" t="s">
        <v>37</v>
      </c>
      <c r="C413" t="s">
        <v>38</v>
      </c>
      <c r="D413">
        <v>245</v>
      </c>
      <c r="E413" t="s">
        <v>51</v>
      </c>
      <c r="F413">
        <v>0.26509072380361698</v>
      </c>
      <c r="G413">
        <f t="shared" si="64"/>
        <v>0.26509072380361698</v>
      </c>
      <c r="H413">
        <f t="shared" si="65"/>
        <v>3.826036659066973E-3</v>
      </c>
      <c r="I413">
        <f t="shared" si="66"/>
        <v>69.285986368008992</v>
      </c>
      <c r="J413">
        <f t="shared" si="67"/>
        <v>261.36707227574306</v>
      </c>
    </row>
    <row r="414" spans="1:13" x14ac:dyDescent="0.25">
      <c r="A414" t="s">
        <v>21</v>
      </c>
      <c r="B414" t="s">
        <v>37</v>
      </c>
      <c r="C414" t="s">
        <v>38</v>
      </c>
      <c r="D414">
        <v>394</v>
      </c>
      <c r="E414" t="s">
        <v>51</v>
      </c>
      <c r="F414">
        <v>0.49604671017705598</v>
      </c>
      <c r="G414">
        <f t="shared" si="64"/>
        <v>0.49604671017705598</v>
      </c>
      <c r="H414">
        <f t="shared" si="65"/>
        <v>1.9233103605166323E-3</v>
      </c>
      <c r="I414">
        <f t="shared" si="66"/>
        <v>257.91298188806604</v>
      </c>
      <c r="J414">
        <f t="shared" si="67"/>
        <v>519.9368861775298</v>
      </c>
    </row>
    <row r="415" spans="1:13" x14ac:dyDescent="0.25">
      <c r="A415" t="s">
        <v>22</v>
      </c>
      <c r="B415" t="s">
        <v>37</v>
      </c>
      <c r="C415" t="s">
        <v>38</v>
      </c>
      <c r="D415">
        <v>398</v>
      </c>
      <c r="E415" t="s">
        <v>51</v>
      </c>
      <c r="F415">
        <v>0.25603707077826299</v>
      </c>
      <c r="G415">
        <f t="shared" si="64"/>
        <v>0.25603707077826299</v>
      </c>
      <c r="H415">
        <f t="shared" si="65"/>
        <v>2.3597096423921384E-3</v>
      </c>
      <c r="I415">
        <f t="shared" si="66"/>
        <v>108.50363374313599</v>
      </c>
      <c r="J415">
        <f t="shared" si="67"/>
        <v>423.78095255239003</v>
      </c>
    </row>
    <row r="416" spans="1:13" x14ac:dyDescent="0.25">
      <c r="A416" t="s">
        <v>23</v>
      </c>
      <c r="B416" t="s">
        <v>37</v>
      </c>
      <c r="C416" t="s">
        <v>38</v>
      </c>
      <c r="D416">
        <v>1127</v>
      </c>
      <c r="E416" t="s">
        <v>51</v>
      </c>
      <c r="F416">
        <v>0.11027629563356001</v>
      </c>
      <c r="G416">
        <f t="shared" si="64"/>
        <v>0.11027629563356001</v>
      </c>
      <c r="H416">
        <f t="shared" si="65"/>
        <v>8.7807923433007968E-4</v>
      </c>
      <c r="I416">
        <f t="shared" si="66"/>
        <v>125.58809196495123</v>
      </c>
      <c r="J416">
        <f t="shared" si="67"/>
        <v>1138.8493895575816</v>
      </c>
    </row>
    <row r="417" spans="1:13" x14ac:dyDescent="0.25">
      <c r="A417" t="s">
        <v>24</v>
      </c>
      <c r="B417" t="s">
        <v>37</v>
      </c>
      <c r="C417" t="s">
        <v>38</v>
      </c>
      <c r="D417">
        <v>1137</v>
      </c>
      <c r="E417" t="s">
        <v>51</v>
      </c>
      <c r="F417">
        <v>9.0028379527150204E-2</v>
      </c>
      <c r="G417">
        <f t="shared" si="64"/>
        <v>9.0028379527150204E-2</v>
      </c>
      <c r="H417">
        <f t="shared" si="65"/>
        <v>8.739162034182514E-4</v>
      </c>
      <c r="I417">
        <f t="shared" si="66"/>
        <v>103.01717621782454</v>
      </c>
      <c r="J417">
        <f t="shared" si="67"/>
        <v>1144.2744694383537</v>
      </c>
    </row>
    <row r="418" spans="1:13" x14ac:dyDescent="0.25">
      <c r="A418" t="s">
        <v>25</v>
      </c>
      <c r="B418" t="s">
        <v>37</v>
      </c>
      <c r="C418" t="s">
        <v>38</v>
      </c>
      <c r="D418">
        <v>415</v>
      </c>
      <c r="E418" t="s">
        <v>51</v>
      </c>
      <c r="F418">
        <v>8.8827428628298996E-2</v>
      </c>
      <c r="G418">
        <f t="shared" si="64"/>
        <v>8.8827428628298996E-2</v>
      </c>
      <c r="H418">
        <f t="shared" si="65"/>
        <v>2.4022026341968148E-3</v>
      </c>
      <c r="I418">
        <f t="shared" si="66"/>
        <v>36.977491974984353</v>
      </c>
      <c r="J418">
        <f t="shared" si="67"/>
        <v>416.28461552926137</v>
      </c>
    </row>
    <row r="419" spans="1:13" x14ac:dyDescent="0.25">
      <c r="A419" t="s">
        <v>26</v>
      </c>
      <c r="B419" t="s">
        <v>37</v>
      </c>
      <c r="C419" t="s">
        <v>38</v>
      </c>
      <c r="D419">
        <v>397</v>
      </c>
      <c r="E419" t="s">
        <v>51</v>
      </c>
      <c r="F419">
        <v>0.38498715151122398</v>
      </c>
      <c r="G419">
        <f t="shared" si="64"/>
        <v>0.38498715151122398</v>
      </c>
      <c r="H419">
        <f t="shared" si="65"/>
        <v>2.1564174510665165E-3</v>
      </c>
      <c r="I419">
        <f t="shared" si="66"/>
        <v>178.530901482372</v>
      </c>
      <c r="J419">
        <f t="shared" si="67"/>
        <v>463.7321032184293</v>
      </c>
    </row>
    <row r="420" spans="1:13" x14ac:dyDescent="0.25">
      <c r="A420" t="s">
        <v>6</v>
      </c>
      <c r="B420" t="s">
        <v>39</v>
      </c>
      <c r="C420" t="s">
        <v>40</v>
      </c>
      <c r="D420">
        <v>1142</v>
      </c>
      <c r="E420" t="s">
        <v>51</v>
      </c>
      <c r="F420">
        <v>0.594442472456163</v>
      </c>
      <c r="G420">
        <f t="shared" si="64"/>
        <v>0.594442472456163</v>
      </c>
      <c r="H420">
        <f t="shared" si="65"/>
        <v>5.6722644468438935E-4</v>
      </c>
      <c r="I420">
        <f t="shared" si="66"/>
        <v>1047.9808866931742</v>
      </c>
      <c r="J420">
        <f t="shared" si="67"/>
        <v>1762.9643493726924</v>
      </c>
      <c r="K420">
        <f t="shared" ref="K420:L420" si="70">SUM(I420:I438)</f>
        <v>4283.0591036649503</v>
      </c>
      <c r="L420">
        <f t="shared" si="70"/>
        <v>11959.817414681087</v>
      </c>
      <c r="M420">
        <f t="shared" ref="M420" si="71">K420/L420</f>
        <v>0.35812077686130461</v>
      </c>
    </row>
    <row r="421" spans="1:13" x14ac:dyDescent="0.25">
      <c r="A421" t="s">
        <v>9</v>
      </c>
      <c r="B421" t="s">
        <v>39</v>
      </c>
      <c r="C421" t="s">
        <v>40</v>
      </c>
      <c r="D421">
        <v>1128</v>
      </c>
      <c r="E421" t="s">
        <v>51</v>
      </c>
      <c r="F421">
        <v>0.45827795418602502</v>
      </c>
      <c r="G421">
        <f t="shared" si="64"/>
        <v>0.45827795418602502</v>
      </c>
      <c r="H421">
        <f t="shared" si="65"/>
        <v>7.015819864183584E-4</v>
      </c>
      <c r="I421">
        <f t="shared" si="66"/>
        <v>653.20655754800202</v>
      </c>
      <c r="J421">
        <f t="shared" si="67"/>
        <v>1425.3501648539943</v>
      </c>
    </row>
    <row r="422" spans="1:13" x14ac:dyDescent="0.25">
      <c r="A422" t="s">
        <v>10</v>
      </c>
      <c r="B422" t="s">
        <v>39</v>
      </c>
      <c r="C422" t="s">
        <v>40</v>
      </c>
      <c r="D422">
        <v>414</v>
      </c>
      <c r="E422" t="s">
        <v>51</v>
      </c>
      <c r="F422">
        <v>0.220026371095117</v>
      </c>
      <c r="G422">
        <f t="shared" si="64"/>
        <v>0.220026371095117</v>
      </c>
      <c r="H422">
        <f t="shared" si="65"/>
        <v>2.3096805728706647E-3</v>
      </c>
      <c r="I422">
        <f t="shared" si="66"/>
        <v>95.262684234144885</v>
      </c>
      <c r="J422">
        <f t="shared" si="67"/>
        <v>432.96030271281893</v>
      </c>
    </row>
    <row r="423" spans="1:13" x14ac:dyDescent="0.25">
      <c r="A423" t="s">
        <v>11</v>
      </c>
      <c r="B423" t="s">
        <v>39</v>
      </c>
      <c r="C423" t="s">
        <v>40</v>
      </c>
      <c r="D423">
        <v>395</v>
      </c>
      <c r="E423" t="s">
        <v>51</v>
      </c>
      <c r="F423">
        <v>0.461050646120646</v>
      </c>
      <c r="G423">
        <f t="shared" si="64"/>
        <v>0.461050646120646</v>
      </c>
      <c r="H423">
        <f t="shared" si="65"/>
        <v>2.0036445336176459E-3</v>
      </c>
      <c r="I423">
        <f t="shared" si="66"/>
        <v>230.10600851848903</v>
      </c>
      <c r="J423">
        <f t="shared" si="67"/>
        <v>499.09052390369226</v>
      </c>
    </row>
    <row r="424" spans="1:13" x14ac:dyDescent="0.25">
      <c r="A424" t="s">
        <v>12</v>
      </c>
      <c r="B424" t="s">
        <v>39</v>
      </c>
      <c r="C424" t="s">
        <v>40</v>
      </c>
      <c r="D424">
        <v>415</v>
      </c>
      <c r="E424" t="s">
        <v>51</v>
      </c>
      <c r="F424">
        <v>0.31942916518789899</v>
      </c>
      <c r="G424">
        <f t="shared" si="64"/>
        <v>0.31942916518789899</v>
      </c>
      <c r="H424">
        <f t="shared" si="65"/>
        <v>2.174249415078358E-3</v>
      </c>
      <c r="I424">
        <f t="shared" si="66"/>
        <v>146.91468373989974</v>
      </c>
      <c r="J424">
        <f t="shared" si="67"/>
        <v>459.92883478088044</v>
      </c>
    </row>
    <row r="425" spans="1:13" x14ac:dyDescent="0.25">
      <c r="A425" t="s">
        <v>13</v>
      </c>
      <c r="B425" t="s">
        <v>39</v>
      </c>
      <c r="C425" t="s">
        <v>40</v>
      </c>
      <c r="D425">
        <v>1006</v>
      </c>
      <c r="E425" t="s">
        <v>51</v>
      </c>
      <c r="F425">
        <v>7.6544960272100102E-2</v>
      </c>
      <c r="G425">
        <f t="shared" si="64"/>
        <v>7.6544960272100102E-2</v>
      </c>
      <c r="H425">
        <f t="shared" si="65"/>
        <v>9.9018014846309036E-4</v>
      </c>
      <c r="I425">
        <f t="shared" si="66"/>
        <v>77.304074809931791</v>
      </c>
      <c r="J425">
        <f t="shared" si="67"/>
        <v>1009.9172373351976</v>
      </c>
    </row>
    <row r="426" spans="1:13" x14ac:dyDescent="0.25">
      <c r="A426" t="s">
        <v>14</v>
      </c>
      <c r="B426" t="s">
        <v>39</v>
      </c>
      <c r="C426" t="s">
        <v>40</v>
      </c>
      <c r="D426">
        <v>246</v>
      </c>
      <c r="E426" t="s">
        <v>51</v>
      </c>
      <c r="F426">
        <v>0.191364164021252</v>
      </c>
      <c r="G426">
        <f t="shared" si="64"/>
        <v>0.191364164021252</v>
      </c>
      <c r="H426">
        <f t="shared" si="65"/>
        <v>3.9482776915100298E-3</v>
      </c>
      <c r="I426">
        <f t="shared" si="66"/>
        <v>48.467757076140266</v>
      </c>
      <c r="J426">
        <f t="shared" si="67"/>
        <v>253.27499181486073</v>
      </c>
    </row>
    <row r="427" spans="1:13" x14ac:dyDescent="0.25">
      <c r="A427" t="s">
        <v>15</v>
      </c>
      <c r="B427" t="s">
        <v>39</v>
      </c>
      <c r="C427" t="s">
        <v>40</v>
      </c>
      <c r="D427">
        <v>246</v>
      </c>
      <c r="E427" t="s">
        <v>51</v>
      </c>
      <c r="F427">
        <v>0.39545208993319703</v>
      </c>
      <c r="G427">
        <f t="shared" si="64"/>
        <v>0.39545208993319703</v>
      </c>
      <c r="H427">
        <f t="shared" si="65"/>
        <v>3.457449362981421E-3</v>
      </c>
      <c r="I427">
        <f t="shared" si="66"/>
        <v>114.37682766008511</v>
      </c>
      <c r="J427">
        <f t="shared" si="67"/>
        <v>289.23055553810974</v>
      </c>
    </row>
    <row r="428" spans="1:13" x14ac:dyDescent="0.25">
      <c r="A428" t="s">
        <v>16</v>
      </c>
      <c r="B428" t="s">
        <v>39</v>
      </c>
      <c r="C428" t="s">
        <v>40</v>
      </c>
      <c r="D428">
        <v>246</v>
      </c>
      <c r="E428" t="s">
        <v>51</v>
      </c>
      <c r="F428">
        <v>7.2682233394849097E-2</v>
      </c>
      <c r="G428">
        <f t="shared" si="64"/>
        <v>7.2682233394849097E-2</v>
      </c>
      <c r="H428">
        <f t="shared" si="65"/>
        <v>4.0767102170030187E-3</v>
      </c>
      <c r="I428">
        <f t="shared" si="66"/>
        <v>17.828648475358452</v>
      </c>
      <c r="J428">
        <f t="shared" si="67"/>
        <v>245.29582598960076</v>
      </c>
    </row>
    <row r="429" spans="1:13" x14ac:dyDescent="0.25">
      <c r="A429" t="s">
        <v>17</v>
      </c>
      <c r="B429" t="s">
        <v>39</v>
      </c>
      <c r="C429" t="s">
        <v>40</v>
      </c>
      <c r="D429">
        <v>246</v>
      </c>
      <c r="E429" t="s">
        <v>51</v>
      </c>
      <c r="F429">
        <v>0.29521135508268298</v>
      </c>
      <c r="G429">
        <f t="shared" si="64"/>
        <v>0.29521135508268298</v>
      </c>
      <c r="H429">
        <f t="shared" si="65"/>
        <v>3.7411895730747788E-3</v>
      </c>
      <c r="I429">
        <f t="shared" si="66"/>
        <v>78.908419184985874</v>
      </c>
      <c r="J429">
        <f t="shared" si="67"/>
        <v>267.29466135503208</v>
      </c>
    </row>
    <row r="430" spans="1:13" x14ac:dyDescent="0.25">
      <c r="A430" t="s">
        <v>18</v>
      </c>
      <c r="B430" t="s">
        <v>39</v>
      </c>
      <c r="C430" t="s">
        <v>40</v>
      </c>
      <c r="D430">
        <v>246</v>
      </c>
      <c r="E430" t="s">
        <v>51</v>
      </c>
      <c r="F430">
        <v>0.369423343716412</v>
      </c>
      <c r="G430">
        <f t="shared" si="64"/>
        <v>0.369423343716412</v>
      </c>
      <c r="H430">
        <f t="shared" si="65"/>
        <v>3.5390425947433844E-3</v>
      </c>
      <c r="I430">
        <f t="shared" si="66"/>
        <v>104.38510806994083</v>
      </c>
      <c r="J430">
        <f t="shared" si="67"/>
        <v>282.56229565739653</v>
      </c>
    </row>
    <row r="431" spans="1:13" x14ac:dyDescent="0.25">
      <c r="A431" t="s">
        <v>19</v>
      </c>
      <c r="B431" t="s">
        <v>39</v>
      </c>
      <c r="C431" t="s">
        <v>40</v>
      </c>
      <c r="D431">
        <v>266</v>
      </c>
      <c r="E431" t="s">
        <v>51</v>
      </c>
      <c r="F431">
        <v>-0.17800189159188301</v>
      </c>
      <c r="G431">
        <f t="shared" si="64"/>
        <v>-0.17800189159188301</v>
      </c>
      <c r="H431">
        <f t="shared" si="65"/>
        <v>3.6678610855670891E-3</v>
      </c>
      <c r="I431">
        <f t="shared" si="66"/>
        <v>-48.530161704409828</v>
      </c>
      <c r="J431">
        <f t="shared" si="67"/>
        <v>272.63846058264488</v>
      </c>
    </row>
    <row r="432" spans="1:13" x14ac:dyDescent="0.25">
      <c r="A432" t="s">
        <v>20</v>
      </c>
      <c r="B432" t="s">
        <v>39</v>
      </c>
      <c r="C432" t="s">
        <v>40</v>
      </c>
      <c r="D432">
        <v>245</v>
      </c>
      <c r="E432" t="s">
        <v>51</v>
      </c>
      <c r="F432">
        <v>0.40057239855288901</v>
      </c>
      <c r="G432">
        <f t="shared" si="64"/>
        <v>0.40057239855288901</v>
      </c>
      <c r="H432">
        <f t="shared" si="65"/>
        <v>3.4549043354633146E-3</v>
      </c>
      <c r="I432">
        <f t="shared" si="66"/>
        <v>115.94312306744982</v>
      </c>
      <c r="J432">
        <f t="shared" si="67"/>
        <v>289.44361490284115</v>
      </c>
    </row>
    <row r="433" spans="1:13" x14ac:dyDescent="0.25">
      <c r="A433" t="s">
        <v>21</v>
      </c>
      <c r="B433" t="s">
        <v>39</v>
      </c>
      <c r="C433" t="s">
        <v>40</v>
      </c>
      <c r="D433">
        <v>394</v>
      </c>
      <c r="E433" t="s">
        <v>51</v>
      </c>
      <c r="F433">
        <v>0.37098962971757599</v>
      </c>
      <c r="G433">
        <f t="shared" si="64"/>
        <v>0.37098962971757599</v>
      </c>
      <c r="H433">
        <f t="shared" si="65"/>
        <v>2.1999150373520813E-3</v>
      </c>
      <c r="I433">
        <f t="shared" si="66"/>
        <v>168.638162573822</v>
      </c>
      <c r="J433">
        <f t="shared" si="67"/>
        <v>454.56300948951463</v>
      </c>
    </row>
    <row r="434" spans="1:13" x14ac:dyDescent="0.25">
      <c r="A434" t="s">
        <v>22</v>
      </c>
      <c r="B434" t="s">
        <v>39</v>
      </c>
      <c r="C434" t="s">
        <v>40</v>
      </c>
      <c r="D434">
        <v>398</v>
      </c>
      <c r="E434" t="s">
        <v>51</v>
      </c>
      <c r="F434">
        <v>0.40727454273064401</v>
      </c>
      <c r="G434">
        <f t="shared" si="64"/>
        <v>0.40727454273064401</v>
      </c>
      <c r="H434">
        <f t="shared" si="65"/>
        <v>2.1063824415241033E-3</v>
      </c>
      <c r="I434">
        <f t="shared" si="66"/>
        <v>193.35261000179753</v>
      </c>
      <c r="J434">
        <f t="shared" si="67"/>
        <v>474.74759582425861</v>
      </c>
    </row>
    <row r="435" spans="1:13" x14ac:dyDescent="0.25">
      <c r="A435" t="s">
        <v>23</v>
      </c>
      <c r="B435" t="s">
        <v>39</v>
      </c>
      <c r="C435" t="s">
        <v>40</v>
      </c>
      <c r="D435">
        <v>1127</v>
      </c>
      <c r="E435" t="s">
        <v>51</v>
      </c>
      <c r="F435">
        <v>0.22947911712747299</v>
      </c>
      <c r="G435">
        <f t="shared" si="64"/>
        <v>0.22947911712747299</v>
      </c>
      <c r="H435">
        <f t="shared" si="65"/>
        <v>8.4207940871324047E-4</v>
      </c>
      <c r="I435">
        <f t="shared" si="66"/>
        <v>272.51481838053019</v>
      </c>
      <c r="J435">
        <f t="shared" si="67"/>
        <v>1187.5364599261177</v>
      </c>
    </row>
    <row r="436" spans="1:13" x14ac:dyDescent="0.25">
      <c r="A436" t="s">
        <v>24</v>
      </c>
      <c r="B436" t="s">
        <v>39</v>
      </c>
      <c r="C436" t="s">
        <v>40</v>
      </c>
      <c r="D436">
        <v>1137</v>
      </c>
      <c r="E436" t="s">
        <v>51</v>
      </c>
      <c r="F436">
        <v>0.40980948514451998</v>
      </c>
      <c r="G436">
        <f t="shared" si="64"/>
        <v>0.40980948514451998</v>
      </c>
      <c r="H436">
        <f t="shared" si="65"/>
        <v>7.3308915055998551E-4</v>
      </c>
      <c r="I436">
        <f t="shared" si="66"/>
        <v>559.017255720506</v>
      </c>
      <c r="J436">
        <f t="shared" si="67"/>
        <v>1364.090573753723</v>
      </c>
    </row>
    <row r="437" spans="1:13" x14ac:dyDescent="0.25">
      <c r="A437" t="s">
        <v>25</v>
      </c>
      <c r="B437" t="s">
        <v>39</v>
      </c>
      <c r="C437" t="s">
        <v>40</v>
      </c>
      <c r="D437">
        <v>415</v>
      </c>
      <c r="E437" t="s">
        <v>51</v>
      </c>
      <c r="F437">
        <v>0.28587766934765002</v>
      </c>
      <c r="G437">
        <f t="shared" si="64"/>
        <v>0.28587766934765002</v>
      </c>
      <c r="H437">
        <f t="shared" si="65"/>
        <v>2.2234236275262848E-3</v>
      </c>
      <c r="I437">
        <f t="shared" si="66"/>
        <v>128.57543915988202</v>
      </c>
      <c r="J437">
        <f t="shared" si="67"/>
        <v>449.75684688237766</v>
      </c>
    </row>
    <row r="438" spans="1:13" x14ac:dyDescent="0.25">
      <c r="A438" t="s">
        <v>26</v>
      </c>
      <c r="B438" t="s">
        <v>39</v>
      </c>
      <c r="C438" t="s">
        <v>40</v>
      </c>
      <c r="D438">
        <v>397</v>
      </c>
      <c r="E438" t="s">
        <v>51</v>
      </c>
      <c r="F438">
        <v>0.51710151987272202</v>
      </c>
      <c r="G438">
        <f t="shared" si="64"/>
        <v>0.51710151987272202</v>
      </c>
      <c r="H438">
        <f t="shared" si="65"/>
        <v>1.8546987801147364E-3</v>
      </c>
      <c r="I438">
        <f t="shared" si="66"/>
        <v>278.80620045522045</v>
      </c>
      <c r="J438">
        <f t="shared" si="67"/>
        <v>539.17111000533328</v>
      </c>
    </row>
    <row r="439" spans="1:13" x14ac:dyDescent="0.25">
      <c r="A439" t="s">
        <v>6</v>
      </c>
      <c r="B439" t="s">
        <v>41</v>
      </c>
      <c r="C439" t="s">
        <v>42</v>
      </c>
      <c r="D439">
        <v>1142</v>
      </c>
      <c r="E439" t="s">
        <v>51</v>
      </c>
      <c r="F439">
        <v>0.34407028793286798</v>
      </c>
      <c r="G439">
        <f t="shared" si="64"/>
        <v>0.34407028793286798</v>
      </c>
      <c r="H439">
        <f t="shared" si="65"/>
        <v>7.7334704996648534E-4</v>
      </c>
      <c r="I439">
        <f t="shared" si="66"/>
        <v>444.9105843848231</v>
      </c>
      <c r="J439">
        <f t="shared" si="67"/>
        <v>1293.0805128736667</v>
      </c>
      <c r="K439">
        <f t="shared" ref="K439:L439" si="72">SUM(I439:I457)</f>
        <v>3460.4665384239756</v>
      </c>
      <c r="L439">
        <f t="shared" si="72"/>
        <v>11419.81645452862</v>
      </c>
      <c r="M439">
        <f t="shared" ref="M439" si="73">K439/L439</f>
        <v>0.30302295594704587</v>
      </c>
    </row>
    <row r="440" spans="1:13" x14ac:dyDescent="0.25">
      <c r="A440" t="s">
        <v>9</v>
      </c>
      <c r="B440" t="s">
        <v>41</v>
      </c>
      <c r="C440" t="s">
        <v>42</v>
      </c>
      <c r="D440">
        <v>1128</v>
      </c>
      <c r="E440" t="s">
        <v>51</v>
      </c>
      <c r="F440">
        <v>0.38512927770403499</v>
      </c>
      <c r="G440">
        <f t="shared" si="64"/>
        <v>0.38512927770403499</v>
      </c>
      <c r="H440">
        <f t="shared" si="65"/>
        <v>7.5637250395663267E-4</v>
      </c>
      <c r="I440">
        <f t="shared" si="66"/>
        <v>509.1793735089513</v>
      </c>
      <c r="J440">
        <f t="shared" si="67"/>
        <v>1322.0998843412954</v>
      </c>
    </row>
    <row r="441" spans="1:13" x14ac:dyDescent="0.25">
      <c r="A441" t="s">
        <v>10</v>
      </c>
      <c r="B441" t="s">
        <v>41</v>
      </c>
      <c r="C441" t="s">
        <v>42</v>
      </c>
      <c r="D441">
        <v>414</v>
      </c>
      <c r="E441" t="s">
        <v>51</v>
      </c>
      <c r="F441">
        <v>0.34282650727505998</v>
      </c>
      <c r="G441">
        <f t="shared" si="64"/>
        <v>0.34282650727505998</v>
      </c>
      <c r="H441">
        <f t="shared" si="65"/>
        <v>2.1419174415281145E-3</v>
      </c>
      <c r="I441">
        <f t="shared" si="66"/>
        <v>160.05589227121482</v>
      </c>
      <c r="J441">
        <f t="shared" si="67"/>
        <v>466.87140251613386</v>
      </c>
    </row>
    <row r="442" spans="1:13" x14ac:dyDescent="0.25">
      <c r="A442" t="s">
        <v>11</v>
      </c>
      <c r="B442" t="s">
        <v>41</v>
      </c>
      <c r="C442" t="s">
        <v>42</v>
      </c>
      <c r="D442">
        <v>395</v>
      </c>
      <c r="E442" t="s">
        <v>51</v>
      </c>
      <c r="F442">
        <v>0.41399861635410001</v>
      </c>
      <c r="G442">
        <f t="shared" si="64"/>
        <v>0.41399861635410001</v>
      </c>
      <c r="H442">
        <f t="shared" si="65"/>
        <v>2.1084100398394167E-3</v>
      </c>
      <c r="I442">
        <f t="shared" si="66"/>
        <v>196.35583616630447</v>
      </c>
      <c r="J442">
        <f t="shared" si="67"/>
        <v>474.29104448590238</v>
      </c>
    </row>
    <row r="443" spans="1:13" x14ac:dyDescent="0.25">
      <c r="A443" t="s">
        <v>12</v>
      </c>
      <c r="B443" t="s">
        <v>41</v>
      </c>
      <c r="C443" t="s">
        <v>42</v>
      </c>
      <c r="D443">
        <v>415</v>
      </c>
      <c r="E443" t="s">
        <v>51</v>
      </c>
      <c r="F443">
        <v>0.28549700163366099</v>
      </c>
      <c r="G443">
        <f t="shared" si="64"/>
        <v>0.28549700163366099</v>
      </c>
      <c r="H443">
        <f t="shared" si="65"/>
        <v>2.2239502713273353E-3</v>
      </c>
      <c r="I443">
        <f t="shared" si="66"/>
        <v>128.37382441256921</v>
      </c>
      <c r="J443">
        <f t="shared" si="67"/>
        <v>449.65034195803452</v>
      </c>
    </row>
    <row r="444" spans="1:13" x14ac:dyDescent="0.25">
      <c r="A444" t="s">
        <v>13</v>
      </c>
      <c r="B444" t="s">
        <v>41</v>
      </c>
      <c r="C444" t="s">
        <v>42</v>
      </c>
      <c r="D444">
        <v>1006</v>
      </c>
      <c r="E444" t="s">
        <v>51</v>
      </c>
      <c r="F444">
        <v>0.40684217313085902</v>
      </c>
      <c r="G444">
        <f t="shared" si="64"/>
        <v>0.40684217313085902</v>
      </c>
      <c r="H444">
        <f t="shared" si="65"/>
        <v>8.3115482685474111E-4</v>
      </c>
      <c r="I444">
        <f t="shared" si="66"/>
        <v>489.49023693988823</v>
      </c>
      <c r="J444">
        <f t="shared" si="67"/>
        <v>1203.1452717229633</v>
      </c>
    </row>
    <row r="445" spans="1:13" x14ac:dyDescent="0.25">
      <c r="A445" t="s">
        <v>14</v>
      </c>
      <c r="B445" t="s">
        <v>41</v>
      </c>
      <c r="C445" t="s">
        <v>42</v>
      </c>
      <c r="D445">
        <v>246</v>
      </c>
      <c r="E445" t="s">
        <v>51</v>
      </c>
      <c r="F445">
        <v>0.13821033783144099</v>
      </c>
      <c r="G445">
        <f t="shared" si="64"/>
        <v>0.13821033783144099</v>
      </c>
      <c r="H445">
        <f t="shared" si="65"/>
        <v>4.0200733709693402E-3</v>
      </c>
      <c r="I445">
        <f t="shared" si="66"/>
        <v>34.380053565568389</v>
      </c>
      <c r="J445">
        <f t="shared" si="67"/>
        <v>248.75167881796023</v>
      </c>
    </row>
    <row r="446" spans="1:13" x14ac:dyDescent="0.25">
      <c r="A446" t="s">
        <v>15</v>
      </c>
      <c r="B446" t="s">
        <v>41</v>
      </c>
      <c r="C446" t="s">
        <v>42</v>
      </c>
      <c r="D446">
        <v>246</v>
      </c>
      <c r="E446" t="s">
        <v>51</v>
      </c>
      <c r="F446">
        <v>0.69807220536247805</v>
      </c>
      <c r="G446">
        <f t="shared" si="64"/>
        <v>0.69807220536247805</v>
      </c>
      <c r="H446">
        <f t="shared" si="65"/>
        <v>2.1012098200834683E-3</v>
      </c>
      <c r="I446">
        <f t="shared" si="66"/>
        <v>332.22394007979074</v>
      </c>
      <c r="J446">
        <f t="shared" si="67"/>
        <v>475.91629852571128</v>
      </c>
    </row>
    <row r="447" spans="1:13" x14ac:dyDescent="0.25">
      <c r="A447" t="s">
        <v>16</v>
      </c>
      <c r="B447" t="s">
        <v>41</v>
      </c>
      <c r="C447" t="s">
        <v>42</v>
      </c>
      <c r="D447">
        <v>246</v>
      </c>
      <c r="E447" t="s">
        <v>51</v>
      </c>
      <c r="F447">
        <v>6.20218833147652E-2</v>
      </c>
      <c r="G447">
        <f t="shared" si="64"/>
        <v>6.20218833147652E-2</v>
      </c>
      <c r="H447">
        <f t="shared" si="65"/>
        <v>4.082595434385613E-3</v>
      </c>
      <c r="I447">
        <f t="shared" si="66"/>
        <v>15.191777953893398</v>
      </c>
      <c r="J447">
        <f t="shared" si="67"/>
        <v>244.94222267960021</v>
      </c>
    </row>
    <row r="448" spans="1:13" x14ac:dyDescent="0.25">
      <c r="A448" t="s">
        <v>17</v>
      </c>
      <c r="B448" t="s">
        <v>41</v>
      </c>
      <c r="C448" t="s">
        <v>42</v>
      </c>
      <c r="D448">
        <v>246</v>
      </c>
      <c r="E448" t="s">
        <v>51</v>
      </c>
      <c r="F448">
        <v>0.50024993376146898</v>
      </c>
      <c r="G448">
        <f t="shared" si="64"/>
        <v>0.50024993376146898</v>
      </c>
      <c r="H448">
        <f t="shared" si="65"/>
        <v>3.0727459170969097E-3</v>
      </c>
      <c r="I448">
        <f t="shared" si="66"/>
        <v>162.80224504670358</v>
      </c>
      <c r="J448">
        <f t="shared" si="67"/>
        <v>325.44181230083188</v>
      </c>
    </row>
    <row r="449" spans="1:13" x14ac:dyDescent="0.25">
      <c r="A449" t="s">
        <v>18</v>
      </c>
      <c r="B449" t="s">
        <v>41</v>
      </c>
      <c r="C449" t="s">
        <v>42</v>
      </c>
      <c r="D449">
        <v>246</v>
      </c>
      <c r="E449" t="s">
        <v>51</v>
      </c>
      <c r="F449">
        <v>0.25272994433844498</v>
      </c>
      <c r="G449">
        <f t="shared" si="64"/>
        <v>0.25272994433844498</v>
      </c>
      <c r="H449">
        <f t="shared" si="65"/>
        <v>3.8365884230929775E-3</v>
      </c>
      <c r="I449">
        <f t="shared" si="66"/>
        <v>65.873613864136971</v>
      </c>
      <c r="J449">
        <f t="shared" si="67"/>
        <v>260.64823476525555</v>
      </c>
    </row>
    <row r="450" spans="1:13" x14ac:dyDescent="0.25">
      <c r="A450" t="s">
        <v>19</v>
      </c>
      <c r="B450" t="s">
        <v>41</v>
      </c>
      <c r="C450" t="s">
        <v>42</v>
      </c>
      <c r="D450">
        <v>266</v>
      </c>
      <c r="E450" t="s">
        <v>51</v>
      </c>
      <c r="F450">
        <v>0.148604716557724</v>
      </c>
      <c r="G450">
        <f t="shared" si="64"/>
        <v>0.148604716557724</v>
      </c>
      <c r="H450">
        <f t="shared" si="65"/>
        <v>3.7042296902151457E-3</v>
      </c>
      <c r="I450">
        <f t="shared" si="66"/>
        <v>40.117576118529755</v>
      </c>
      <c r="J450">
        <f t="shared" si="67"/>
        <v>269.96166102807706</v>
      </c>
    </row>
    <row r="451" spans="1:13" x14ac:dyDescent="0.25">
      <c r="A451" t="s">
        <v>20</v>
      </c>
      <c r="B451" t="s">
        <v>41</v>
      </c>
      <c r="C451" t="s">
        <v>42</v>
      </c>
      <c r="D451">
        <v>245</v>
      </c>
      <c r="E451" t="s">
        <v>51</v>
      </c>
      <c r="F451">
        <v>0.27802936140555701</v>
      </c>
      <c r="G451">
        <f t="shared" ref="G451:G514" si="74">AVERAGE(F451)</f>
        <v>0.27802936140555701</v>
      </c>
      <c r="H451">
        <f t="shared" ref="H451:H514" si="75">(1-G451^2)/(D451-2)</f>
        <v>3.7971180008083052E-3</v>
      </c>
      <c r="I451">
        <f t="shared" ref="I451:I514" si="76">G451/H451</f>
        <v>73.221153871534142</v>
      </c>
      <c r="J451">
        <f t="shared" ref="J451:J514" si="77">1/H451</f>
        <v>263.35763065228065</v>
      </c>
    </row>
    <row r="452" spans="1:13" x14ac:dyDescent="0.25">
      <c r="A452" t="s">
        <v>21</v>
      </c>
      <c r="B452" t="s">
        <v>41</v>
      </c>
      <c r="C452" t="s">
        <v>42</v>
      </c>
      <c r="D452">
        <v>394</v>
      </c>
      <c r="E452" t="s">
        <v>51</v>
      </c>
      <c r="F452">
        <v>0.52282298179763298</v>
      </c>
      <c r="G452">
        <f t="shared" si="74"/>
        <v>0.52282298179763298</v>
      </c>
      <c r="H452">
        <f t="shared" si="75"/>
        <v>1.8537146165924286E-3</v>
      </c>
      <c r="I452">
        <f t="shared" si="76"/>
        <v>282.0407074087309</v>
      </c>
      <c r="J452">
        <f t="shared" si="77"/>
        <v>539.45736363574645</v>
      </c>
    </row>
    <row r="453" spans="1:13" x14ac:dyDescent="0.25">
      <c r="A453" t="s">
        <v>22</v>
      </c>
      <c r="B453" t="s">
        <v>41</v>
      </c>
      <c r="C453" t="s">
        <v>42</v>
      </c>
      <c r="D453">
        <v>398</v>
      </c>
      <c r="E453" t="s">
        <v>51</v>
      </c>
      <c r="F453">
        <v>0.249603057092811</v>
      </c>
      <c r="G453">
        <f t="shared" si="74"/>
        <v>0.249603057092811</v>
      </c>
      <c r="H453">
        <f t="shared" si="75"/>
        <v>2.367925035075563E-3</v>
      </c>
      <c r="I453">
        <f t="shared" si="76"/>
        <v>105.41003342398713</v>
      </c>
      <c r="J453">
        <f t="shared" si="77"/>
        <v>422.31066659088259</v>
      </c>
    </row>
    <row r="454" spans="1:13" x14ac:dyDescent="0.25">
      <c r="A454" t="s">
        <v>23</v>
      </c>
      <c r="B454" t="s">
        <v>41</v>
      </c>
      <c r="C454" t="s">
        <v>42</v>
      </c>
      <c r="D454">
        <v>1127</v>
      </c>
      <c r="E454" t="s">
        <v>51</v>
      </c>
      <c r="F454">
        <v>8.5722445520047402E-2</v>
      </c>
      <c r="G454">
        <f t="shared" si="74"/>
        <v>8.5722445520047402E-2</v>
      </c>
      <c r="H454">
        <f t="shared" si="75"/>
        <v>8.8235703318583338E-4</v>
      </c>
      <c r="I454">
        <f t="shared" si="76"/>
        <v>97.151654371177187</v>
      </c>
      <c r="J454">
        <f t="shared" si="77"/>
        <v>1133.3280773990157</v>
      </c>
    </row>
    <row r="455" spans="1:13" x14ac:dyDescent="0.25">
      <c r="A455" t="s">
        <v>24</v>
      </c>
      <c r="B455" t="s">
        <v>41</v>
      </c>
      <c r="C455" t="s">
        <v>42</v>
      </c>
      <c r="D455">
        <v>1137</v>
      </c>
      <c r="E455" t="s">
        <v>51</v>
      </c>
      <c r="F455">
        <v>8.7391548150612106E-2</v>
      </c>
      <c r="G455">
        <f t="shared" si="74"/>
        <v>8.7391548150612106E-2</v>
      </c>
      <c r="H455">
        <f t="shared" si="75"/>
        <v>8.7432838529677469E-4</v>
      </c>
      <c r="I455">
        <f t="shared" si="76"/>
        <v>99.95277474715482</v>
      </c>
      <c r="J455">
        <f t="shared" si="77"/>
        <v>1143.7350277271032</v>
      </c>
    </row>
    <row r="456" spans="1:13" x14ac:dyDescent="0.25">
      <c r="A456" t="s">
        <v>25</v>
      </c>
      <c r="B456" t="s">
        <v>41</v>
      </c>
      <c r="C456" t="s">
        <v>42</v>
      </c>
      <c r="D456">
        <v>415</v>
      </c>
      <c r="E456" t="s">
        <v>51</v>
      </c>
      <c r="F456">
        <v>0.102105185399508</v>
      </c>
      <c r="G456">
        <f t="shared" si="74"/>
        <v>0.102105185399508</v>
      </c>
      <c r="H456">
        <f t="shared" si="75"/>
        <v>2.3960642399867603E-3</v>
      </c>
      <c r="I456">
        <f t="shared" si="76"/>
        <v>42.613709472193527</v>
      </c>
      <c r="J456">
        <f t="shared" si="77"/>
        <v>417.35108070621914</v>
      </c>
    </row>
    <row r="457" spans="1:13" x14ac:dyDescent="0.25">
      <c r="A457" t="s">
        <v>26</v>
      </c>
      <c r="B457" t="s">
        <v>41</v>
      </c>
      <c r="C457" t="s">
        <v>42</v>
      </c>
      <c r="D457">
        <v>397</v>
      </c>
      <c r="E457" t="s">
        <v>51</v>
      </c>
      <c r="F457">
        <v>0.38911019414368198</v>
      </c>
      <c r="G457">
        <f t="shared" si="74"/>
        <v>0.38911019414368198</v>
      </c>
      <c r="H457">
        <f t="shared" si="75"/>
        <v>2.148337359021433E-3</v>
      </c>
      <c r="I457">
        <f t="shared" si="76"/>
        <v>181.12155081682403</v>
      </c>
      <c r="J457">
        <f t="shared" si="77"/>
        <v>465.47624180193918</v>
      </c>
    </row>
    <row r="458" spans="1:13" x14ac:dyDescent="0.25">
      <c r="A458" t="s">
        <v>6</v>
      </c>
      <c r="B458" t="s">
        <v>43</v>
      </c>
      <c r="C458" t="s">
        <v>44</v>
      </c>
      <c r="D458">
        <v>1142</v>
      </c>
      <c r="E458" t="s">
        <v>51</v>
      </c>
      <c r="F458">
        <v>0.67448806391318095</v>
      </c>
      <c r="G458">
        <f t="shared" si="74"/>
        <v>0.67448806391318095</v>
      </c>
      <c r="H458">
        <f t="shared" si="75"/>
        <v>4.781279400339024E-4</v>
      </c>
      <c r="I458">
        <f t="shared" si="76"/>
        <v>1410.6853154520845</v>
      </c>
      <c r="J458">
        <f t="shared" si="77"/>
        <v>2091.4904072100312</v>
      </c>
      <c r="K458">
        <f t="shared" ref="K458:L458" si="78">SUM(I458:I476)</f>
        <v>5358.5543483007805</v>
      </c>
      <c r="L458">
        <f t="shared" si="78"/>
        <v>12708.425995057325</v>
      </c>
      <c r="M458">
        <f t="shared" ref="M458" si="79">K458/L458</f>
        <v>0.42165366115244152</v>
      </c>
    </row>
    <row r="459" spans="1:13" x14ac:dyDescent="0.25">
      <c r="A459" t="s">
        <v>9</v>
      </c>
      <c r="B459" t="s">
        <v>43</v>
      </c>
      <c r="C459" t="s">
        <v>44</v>
      </c>
      <c r="D459">
        <v>1128</v>
      </c>
      <c r="E459" t="s">
        <v>51</v>
      </c>
      <c r="F459">
        <v>0.50131053634756195</v>
      </c>
      <c r="G459">
        <f t="shared" si="74"/>
        <v>0.50131053634756195</v>
      </c>
      <c r="H459">
        <f t="shared" si="75"/>
        <v>6.6490918840756634E-4</v>
      </c>
      <c r="I459">
        <f t="shared" si="76"/>
        <v>753.95338955712543</v>
      </c>
      <c r="J459">
        <f t="shared" si="77"/>
        <v>1503.9647780999449</v>
      </c>
    </row>
    <row r="460" spans="1:13" x14ac:dyDescent="0.25">
      <c r="A460" t="s">
        <v>10</v>
      </c>
      <c r="B460" t="s">
        <v>43</v>
      </c>
      <c r="C460" t="s">
        <v>44</v>
      </c>
      <c r="D460">
        <v>414</v>
      </c>
      <c r="E460" t="s">
        <v>51</v>
      </c>
      <c r="F460">
        <v>0.44557659283380802</v>
      </c>
      <c r="G460">
        <f t="shared" si="74"/>
        <v>0.44557659283380802</v>
      </c>
      <c r="H460">
        <f t="shared" si="75"/>
        <v>1.9452949027150847E-3</v>
      </c>
      <c r="I460">
        <f t="shared" si="76"/>
        <v>229.05349323226437</v>
      </c>
      <c r="J460">
        <f t="shared" si="77"/>
        <v>514.06087509111399</v>
      </c>
    </row>
    <row r="461" spans="1:13" x14ac:dyDescent="0.25">
      <c r="A461" t="s">
        <v>11</v>
      </c>
      <c r="B461" t="s">
        <v>43</v>
      </c>
      <c r="C461" t="s">
        <v>44</v>
      </c>
      <c r="D461">
        <v>395</v>
      </c>
      <c r="E461" t="s">
        <v>51</v>
      </c>
      <c r="F461">
        <v>0.44481227493341102</v>
      </c>
      <c r="G461">
        <f t="shared" si="74"/>
        <v>0.44481227493341102</v>
      </c>
      <c r="H461">
        <f t="shared" si="75"/>
        <v>2.0410738933042331E-3</v>
      </c>
      <c r="I461">
        <f t="shared" si="76"/>
        <v>217.93051020476179</v>
      </c>
      <c r="J461">
        <f t="shared" si="77"/>
        <v>489.93816602157898</v>
      </c>
    </row>
    <row r="462" spans="1:13" x14ac:dyDescent="0.25">
      <c r="A462" t="s">
        <v>12</v>
      </c>
      <c r="B462" t="s">
        <v>43</v>
      </c>
      <c r="C462" t="s">
        <v>44</v>
      </c>
      <c r="D462">
        <v>415</v>
      </c>
      <c r="E462" t="s">
        <v>51</v>
      </c>
      <c r="F462">
        <v>0.35391020763122599</v>
      </c>
      <c r="G462">
        <f t="shared" si="74"/>
        <v>0.35391020763122599</v>
      </c>
      <c r="H462">
        <f t="shared" si="75"/>
        <v>2.1180328448775361E-3</v>
      </c>
      <c r="I462">
        <f t="shared" si="76"/>
        <v>167.09382410530509</v>
      </c>
      <c r="J462">
        <f t="shared" si="77"/>
        <v>472.13620998300411</v>
      </c>
    </row>
    <row r="463" spans="1:13" x14ac:dyDescent="0.25">
      <c r="A463" t="s">
        <v>13</v>
      </c>
      <c r="B463" t="s">
        <v>43</v>
      </c>
      <c r="C463" t="s">
        <v>44</v>
      </c>
      <c r="D463">
        <v>1006</v>
      </c>
      <c r="E463" t="s">
        <v>51</v>
      </c>
      <c r="F463">
        <v>0.209771381109294</v>
      </c>
      <c r="G463">
        <f t="shared" si="74"/>
        <v>0.209771381109294</v>
      </c>
      <c r="H463">
        <f t="shared" si="75"/>
        <v>9.5218721879233002E-4</v>
      </c>
      <c r="I463">
        <f t="shared" si="76"/>
        <v>220.30476461903095</v>
      </c>
      <c r="J463">
        <f t="shared" si="77"/>
        <v>1050.213634739092</v>
      </c>
    </row>
    <row r="464" spans="1:13" x14ac:dyDescent="0.25">
      <c r="A464" t="s">
        <v>14</v>
      </c>
      <c r="B464" t="s">
        <v>43</v>
      </c>
      <c r="C464" t="s">
        <v>44</v>
      </c>
      <c r="D464">
        <v>246</v>
      </c>
      <c r="E464" t="s">
        <v>51</v>
      </c>
      <c r="F464">
        <v>0.39442704136618101</v>
      </c>
      <c r="G464">
        <f t="shared" si="74"/>
        <v>0.39442704136618101</v>
      </c>
      <c r="H464">
        <f t="shared" si="75"/>
        <v>3.4607676599963974E-3</v>
      </c>
      <c r="I464">
        <f t="shared" si="76"/>
        <v>113.97096832746975</v>
      </c>
      <c r="J464">
        <f t="shared" si="77"/>
        <v>288.95323183904259</v>
      </c>
    </row>
    <row r="465" spans="1:13" x14ac:dyDescent="0.25">
      <c r="A465" t="s">
        <v>15</v>
      </c>
      <c r="B465" t="s">
        <v>43</v>
      </c>
      <c r="C465" t="s">
        <v>44</v>
      </c>
      <c r="D465">
        <v>246</v>
      </c>
      <c r="E465" t="s">
        <v>51</v>
      </c>
      <c r="F465">
        <v>0.66346979217892499</v>
      </c>
      <c r="G465">
        <f t="shared" si="74"/>
        <v>0.66346979217892499</v>
      </c>
      <c r="H465">
        <f t="shared" si="75"/>
        <v>2.2942944051887459E-3</v>
      </c>
      <c r="I465">
        <f t="shared" si="76"/>
        <v>289.18250015273998</v>
      </c>
      <c r="J465">
        <f t="shared" si="77"/>
        <v>435.86385327812036</v>
      </c>
    </row>
    <row r="466" spans="1:13" x14ac:dyDescent="0.25">
      <c r="A466" t="s">
        <v>16</v>
      </c>
      <c r="B466" t="s">
        <v>43</v>
      </c>
      <c r="C466" t="s">
        <v>44</v>
      </c>
      <c r="D466">
        <v>246</v>
      </c>
      <c r="E466" t="s">
        <v>51</v>
      </c>
      <c r="F466">
        <v>6.0610909158555701E-2</v>
      </c>
      <c r="G466">
        <f t="shared" si="74"/>
        <v>6.0610909158555701E-2</v>
      </c>
      <c r="H466">
        <f t="shared" si="75"/>
        <v>4.0833045807007109E-3</v>
      </c>
      <c r="I466">
        <f t="shared" si="76"/>
        <v>14.843592477775594</v>
      </c>
      <c r="J466">
        <f t="shared" si="77"/>
        <v>244.89968363525705</v>
      </c>
    </row>
    <row r="467" spans="1:13" x14ac:dyDescent="0.25">
      <c r="A467" t="s">
        <v>17</v>
      </c>
      <c r="B467" t="s">
        <v>43</v>
      </c>
      <c r="C467" t="s">
        <v>44</v>
      </c>
      <c r="D467">
        <v>246</v>
      </c>
      <c r="E467" t="s">
        <v>51</v>
      </c>
      <c r="F467">
        <v>0.48724758473967</v>
      </c>
      <c r="G467">
        <f t="shared" si="74"/>
        <v>0.48724758473967</v>
      </c>
      <c r="H467">
        <f t="shared" si="75"/>
        <v>3.1253679965793364E-3</v>
      </c>
      <c r="I467">
        <f t="shared" si="76"/>
        <v>155.9008684010825</v>
      </c>
      <c r="J467">
        <f t="shared" si="77"/>
        <v>319.96232158724462</v>
      </c>
    </row>
    <row r="468" spans="1:13" x14ac:dyDescent="0.25">
      <c r="A468" t="s">
        <v>18</v>
      </c>
      <c r="B468" t="s">
        <v>43</v>
      </c>
      <c r="C468" t="s">
        <v>44</v>
      </c>
      <c r="D468">
        <v>246</v>
      </c>
      <c r="E468" t="s">
        <v>51</v>
      </c>
      <c r="F468">
        <v>0.20808332468365101</v>
      </c>
      <c r="G468">
        <f t="shared" si="74"/>
        <v>0.20808332468365101</v>
      </c>
      <c r="H468">
        <f t="shared" si="75"/>
        <v>3.9209070901172057E-3</v>
      </c>
      <c r="I468">
        <f t="shared" si="76"/>
        <v>53.070200313629691</v>
      </c>
      <c r="J468">
        <f t="shared" si="77"/>
        <v>255.04302372288743</v>
      </c>
    </row>
    <row r="469" spans="1:13" x14ac:dyDescent="0.25">
      <c r="A469" t="s">
        <v>19</v>
      </c>
      <c r="B469" t="s">
        <v>43</v>
      </c>
      <c r="C469" t="s">
        <v>44</v>
      </c>
      <c r="D469">
        <v>266</v>
      </c>
      <c r="E469" t="s">
        <v>51</v>
      </c>
      <c r="F469">
        <v>5.00116011296423E-2</v>
      </c>
      <c r="G469">
        <f t="shared" si="74"/>
        <v>5.00116011296423E-2</v>
      </c>
      <c r="H469">
        <f t="shared" si="75"/>
        <v>3.7784046960320059E-3</v>
      </c>
      <c r="I469">
        <f t="shared" si="76"/>
        <v>13.236168476649242</v>
      </c>
      <c r="J469">
        <f t="shared" si="77"/>
        <v>264.66196197833892</v>
      </c>
    </row>
    <row r="470" spans="1:13" x14ac:dyDescent="0.25">
      <c r="A470" t="s">
        <v>20</v>
      </c>
      <c r="B470" t="s">
        <v>43</v>
      </c>
      <c r="C470" t="s">
        <v>44</v>
      </c>
      <c r="D470">
        <v>245</v>
      </c>
      <c r="E470" t="s">
        <v>51</v>
      </c>
      <c r="F470">
        <v>0.40525599863587403</v>
      </c>
      <c r="G470">
        <f t="shared" si="74"/>
        <v>0.40525599863587403</v>
      </c>
      <c r="H470">
        <f t="shared" si="75"/>
        <v>3.4393727389697135E-3</v>
      </c>
      <c r="I470">
        <f t="shared" si="76"/>
        <v>117.82846158083788</v>
      </c>
      <c r="J470">
        <f t="shared" si="77"/>
        <v>290.75069086567117</v>
      </c>
    </row>
    <row r="471" spans="1:13" x14ac:dyDescent="0.25">
      <c r="A471" t="s">
        <v>21</v>
      </c>
      <c r="B471" t="s">
        <v>43</v>
      </c>
      <c r="C471" t="s">
        <v>44</v>
      </c>
      <c r="D471">
        <v>394</v>
      </c>
      <c r="E471" t="s">
        <v>51</v>
      </c>
      <c r="F471">
        <v>0.47316007599869903</v>
      </c>
      <c r="G471">
        <f t="shared" si="74"/>
        <v>0.47316007599869903</v>
      </c>
      <c r="H471">
        <f t="shared" si="75"/>
        <v>1.9798967920431256E-3</v>
      </c>
      <c r="I471">
        <f t="shared" si="76"/>
        <v>238.98219235479866</v>
      </c>
      <c r="J471">
        <f t="shared" si="77"/>
        <v>505.07683229693231</v>
      </c>
    </row>
    <row r="472" spans="1:13" x14ac:dyDescent="0.25">
      <c r="A472" t="s">
        <v>22</v>
      </c>
      <c r="B472" t="s">
        <v>43</v>
      </c>
      <c r="C472" t="s">
        <v>44</v>
      </c>
      <c r="D472">
        <v>398</v>
      </c>
      <c r="E472" t="s">
        <v>51</v>
      </c>
      <c r="F472">
        <v>0.39955942583521498</v>
      </c>
      <c r="G472">
        <f t="shared" si="74"/>
        <v>0.39955942583521498</v>
      </c>
      <c r="H472">
        <f t="shared" si="75"/>
        <v>2.1221016798642256E-3</v>
      </c>
      <c r="I472">
        <f t="shared" si="76"/>
        <v>188.2847695878452</v>
      </c>
      <c r="J472">
        <f t="shared" si="77"/>
        <v>471.23095443003518</v>
      </c>
    </row>
    <row r="473" spans="1:13" x14ac:dyDescent="0.25">
      <c r="A473" t="s">
        <v>23</v>
      </c>
      <c r="B473" t="s">
        <v>43</v>
      </c>
      <c r="C473" t="s">
        <v>44</v>
      </c>
      <c r="D473">
        <v>1127</v>
      </c>
      <c r="E473" t="s">
        <v>51</v>
      </c>
      <c r="F473">
        <v>0.20527431124614201</v>
      </c>
      <c r="G473">
        <f t="shared" si="74"/>
        <v>0.20527431124614201</v>
      </c>
      <c r="H473">
        <f t="shared" si="75"/>
        <v>8.5143329523770849E-4</v>
      </c>
      <c r="I473">
        <f t="shared" si="76"/>
        <v>241.09265211296704</v>
      </c>
      <c r="J473">
        <f t="shared" si="77"/>
        <v>1174.4901281089949</v>
      </c>
    </row>
    <row r="474" spans="1:13" x14ac:dyDescent="0.25">
      <c r="A474" t="s">
        <v>24</v>
      </c>
      <c r="B474" t="s">
        <v>43</v>
      </c>
      <c r="C474" t="s">
        <v>44</v>
      </c>
      <c r="D474">
        <v>1137</v>
      </c>
      <c r="E474" t="s">
        <v>51</v>
      </c>
      <c r="F474">
        <v>0.38439129139550998</v>
      </c>
      <c r="G474">
        <f t="shared" si="74"/>
        <v>0.38439129139550998</v>
      </c>
      <c r="H474">
        <f t="shared" si="75"/>
        <v>7.5087518510950847E-4</v>
      </c>
      <c r="I474">
        <f t="shared" si="76"/>
        <v>511.92435043575176</v>
      </c>
      <c r="J474">
        <f t="shared" si="77"/>
        <v>1331.7792621608062</v>
      </c>
    </row>
    <row r="475" spans="1:13" x14ac:dyDescent="0.25">
      <c r="A475" t="s">
        <v>25</v>
      </c>
      <c r="B475" t="s">
        <v>43</v>
      </c>
      <c r="C475" t="s">
        <v>44</v>
      </c>
      <c r="D475">
        <v>415</v>
      </c>
      <c r="E475" t="s">
        <v>51</v>
      </c>
      <c r="F475">
        <v>0.26437708146382299</v>
      </c>
      <c r="G475">
        <f t="shared" si="74"/>
        <v>0.26437708146382299</v>
      </c>
      <c r="H475">
        <f t="shared" si="75"/>
        <v>2.2520696338902448E-3</v>
      </c>
      <c r="I475">
        <f t="shared" si="76"/>
        <v>117.39294268940331</v>
      </c>
      <c r="J475">
        <f t="shared" si="77"/>
        <v>444.0360035726743</v>
      </c>
    </row>
    <row r="476" spans="1:13" x14ac:dyDescent="0.25">
      <c r="A476" t="s">
        <v>26</v>
      </c>
      <c r="B476" t="s">
        <v>43</v>
      </c>
      <c r="C476" t="s">
        <v>44</v>
      </c>
      <c r="D476">
        <v>397</v>
      </c>
      <c r="E476" t="s">
        <v>51</v>
      </c>
      <c r="F476">
        <v>0.54266387974131103</v>
      </c>
      <c r="G476">
        <f t="shared" si="74"/>
        <v>0.54266387974131103</v>
      </c>
      <c r="H476">
        <f t="shared" si="75"/>
        <v>1.786116237023058E-3</v>
      </c>
      <c r="I476">
        <f t="shared" si="76"/>
        <v>303.82338421925755</v>
      </c>
      <c r="J476">
        <f t="shared" si="77"/>
        <v>559.87397643655731</v>
      </c>
    </row>
    <row r="477" spans="1:13" x14ac:dyDescent="0.25">
      <c r="A477" t="s">
        <v>6</v>
      </c>
      <c r="B477" t="s">
        <v>45</v>
      </c>
      <c r="C477" t="s">
        <v>46</v>
      </c>
      <c r="D477">
        <v>1142</v>
      </c>
      <c r="E477" t="s">
        <v>51</v>
      </c>
      <c r="F477">
        <v>0.67779027016752003</v>
      </c>
      <c r="G477">
        <f t="shared" si="74"/>
        <v>0.67779027016752003</v>
      </c>
      <c r="H477">
        <f t="shared" si="75"/>
        <v>4.7421083304056153E-4</v>
      </c>
      <c r="I477">
        <f t="shared" si="76"/>
        <v>1429.3015320245654</v>
      </c>
      <c r="J477">
        <f t="shared" si="77"/>
        <v>2108.7666715417809</v>
      </c>
      <c r="K477">
        <f t="shared" ref="K477:L477" si="80">SUM(I477:I495)</f>
        <v>5441.1173578934786</v>
      </c>
      <c r="L477">
        <f t="shared" si="80"/>
        <v>12771.093572020522</v>
      </c>
      <c r="M477">
        <f t="shared" ref="M477" si="81">K477/L477</f>
        <v>0.42604944730920458</v>
      </c>
    </row>
    <row r="478" spans="1:13" x14ac:dyDescent="0.25">
      <c r="A478" t="s">
        <v>9</v>
      </c>
      <c r="B478" t="s">
        <v>45</v>
      </c>
      <c r="C478" t="s">
        <v>46</v>
      </c>
      <c r="D478">
        <v>1128</v>
      </c>
      <c r="E478" t="s">
        <v>51</v>
      </c>
      <c r="F478">
        <v>0.50270392165203603</v>
      </c>
      <c r="G478">
        <f t="shared" si="74"/>
        <v>0.50270392165203603</v>
      </c>
      <c r="H478">
        <f t="shared" si="75"/>
        <v>6.6366675591089132E-4</v>
      </c>
      <c r="I478">
        <f t="shared" si="76"/>
        <v>757.46437074743676</v>
      </c>
      <c r="J478">
        <f t="shared" si="77"/>
        <v>1506.7803096864282</v>
      </c>
    </row>
    <row r="479" spans="1:13" x14ac:dyDescent="0.25">
      <c r="A479" t="s">
        <v>10</v>
      </c>
      <c r="B479" t="s">
        <v>45</v>
      </c>
      <c r="C479" t="s">
        <v>46</v>
      </c>
      <c r="D479">
        <v>414</v>
      </c>
      <c r="E479" t="s">
        <v>51</v>
      </c>
      <c r="F479">
        <v>0.43915402048532198</v>
      </c>
      <c r="G479">
        <f t="shared" si="74"/>
        <v>0.43915402048532198</v>
      </c>
      <c r="H479">
        <f t="shared" si="75"/>
        <v>1.9590867628436343E-3</v>
      </c>
      <c r="I479">
        <f t="shared" si="76"/>
        <v>224.16261944819917</v>
      </c>
      <c r="J479">
        <f t="shared" si="77"/>
        <v>510.44191557319795</v>
      </c>
    </row>
    <row r="480" spans="1:13" x14ac:dyDescent="0.25">
      <c r="A480" t="s">
        <v>11</v>
      </c>
      <c r="B480" t="s">
        <v>45</v>
      </c>
      <c r="C480" t="s">
        <v>46</v>
      </c>
      <c r="D480">
        <v>395</v>
      </c>
      <c r="E480" t="s">
        <v>51</v>
      </c>
      <c r="F480">
        <v>0.45250829442983698</v>
      </c>
      <c r="G480">
        <f t="shared" si="74"/>
        <v>0.45250829442983698</v>
      </c>
      <c r="H480">
        <f t="shared" si="75"/>
        <v>2.0235018917867686E-3</v>
      </c>
      <c r="I480">
        <f t="shared" si="76"/>
        <v>223.62632635360103</v>
      </c>
      <c r="J480">
        <f t="shared" si="77"/>
        <v>494.19276752787806</v>
      </c>
    </row>
    <row r="481" spans="1:13" x14ac:dyDescent="0.25">
      <c r="A481" t="s">
        <v>12</v>
      </c>
      <c r="B481" t="s">
        <v>45</v>
      </c>
      <c r="C481" t="s">
        <v>46</v>
      </c>
      <c r="D481">
        <v>415</v>
      </c>
      <c r="E481" t="s">
        <v>51</v>
      </c>
      <c r="F481">
        <v>0.37689040109043997</v>
      </c>
      <c r="G481">
        <f t="shared" si="74"/>
        <v>0.37689040109043997</v>
      </c>
      <c r="H481">
        <f t="shared" si="75"/>
        <v>2.0773695534282983E-3</v>
      </c>
      <c r="I481">
        <f t="shared" si="76"/>
        <v>181.42674733460638</v>
      </c>
      <c r="J481">
        <f t="shared" si="77"/>
        <v>481.37799957147377</v>
      </c>
    </row>
    <row r="482" spans="1:13" x14ac:dyDescent="0.25">
      <c r="A482" t="s">
        <v>13</v>
      </c>
      <c r="B482" t="s">
        <v>45</v>
      </c>
      <c r="C482" t="s">
        <v>46</v>
      </c>
      <c r="D482">
        <v>1006</v>
      </c>
      <c r="E482" t="s">
        <v>51</v>
      </c>
      <c r="F482">
        <v>0.210462552502509</v>
      </c>
      <c r="G482">
        <f t="shared" si="74"/>
        <v>0.210462552502509</v>
      </c>
      <c r="H482">
        <f t="shared" si="75"/>
        <v>9.5189792230490893E-4</v>
      </c>
      <c r="I482">
        <f t="shared" si="76"/>
        <v>221.09781686769384</v>
      </c>
      <c r="J482">
        <f t="shared" si="77"/>
        <v>1050.5328108907072</v>
      </c>
    </row>
    <row r="483" spans="1:13" x14ac:dyDescent="0.25">
      <c r="A483" t="s">
        <v>14</v>
      </c>
      <c r="B483" t="s">
        <v>45</v>
      </c>
      <c r="C483" t="s">
        <v>46</v>
      </c>
      <c r="D483">
        <v>246</v>
      </c>
      <c r="E483" t="s">
        <v>51</v>
      </c>
      <c r="F483">
        <v>0.396424521587599</v>
      </c>
      <c r="G483">
        <f t="shared" si="74"/>
        <v>0.396424521587599</v>
      </c>
      <c r="H483">
        <f t="shared" si="75"/>
        <v>3.4542934372296854E-3</v>
      </c>
      <c r="I483">
        <f t="shared" si="76"/>
        <v>114.76283899769909</v>
      </c>
      <c r="J483">
        <f t="shared" si="77"/>
        <v>289.49480354569749</v>
      </c>
    </row>
    <row r="484" spans="1:13" x14ac:dyDescent="0.25">
      <c r="A484" t="s">
        <v>15</v>
      </c>
      <c r="B484" t="s">
        <v>45</v>
      </c>
      <c r="C484" t="s">
        <v>46</v>
      </c>
      <c r="D484">
        <v>246</v>
      </c>
      <c r="E484" t="s">
        <v>51</v>
      </c>
      <c r="F484">
        <v>0.66154318079034802</v>
      </c>
      <c r="G484">
        <f t="shared" si="74"/>
        <v>0.66154318079034802</v>
      </c>
      <c r="H484">
        <f t="shared" si="75"/>
        <v>2.3047566391384794E-3</v>
      </c>
      <c r="I484">
        <f t="shared" si="76"/>
        <v>287.03385405481839</v>
      </c>
      <c r="J484">
        <f t="shared" si="77"/>
        <v>433.88528880593708</v>
      </c>
    </row>
    <row r="485" spans="1:13" x14ac:dyDescent="0.25">
      <c r="A485" t="s">
        <v>16</v>
      </c>
      <c r="B485" t="s">
        <v>45</v>
      </c>
      <c r="C485" t="s">
        <v>46</v>
      </c>
      <c r="D485">
        <v>246</v>
      </c>
      <c r="E485" t="s">
        <v>51</v>
      </c>
      <c r="F485">
        <v>7.8429235921313095E-2</v>
      </c>
      <c r="G485">
        <f t="shared" si="74"/>
        <v>7.8429235921313095E-2</v>
      </c>
      <c r="H485">
        <f t="shared" si="75"/>
        <v>4.0731510448885205E-3</v>
      </c>
      <c r="I485">
        <f t="shared" si="76"/>
        <v>19.255174938757925</v>
      </c>
      <c r="J485">
        <f t="shared" si="77"/>
        <v>245.510168657978</v>
      </c>
    </row>
    <row r="486" spans="1:13" x14ac:dyDescent="0.25">
      <c r="A486" t="s">
        <v>17</v>
      </c>
      <c r="B486" t="s">
        <v>45</v>
      </c>
      <c r="C486" t="s">
        <v>46</v>
      </c>
      <c r="D486">
        <v>246</v>
      </c>
      <c r="E486" t="s">
        <v>51</v>
      </c>
      <c r="F486">
        <v>0.48345663649834902</v>
      </c>
      <c r="G486">
        <f t="shared" si="74"/>
        <v>0.48345663649834902</v>
      </c>
      <c r="H486">
        <f t="shared" si="75"/>
        <v>3.1404495107610788E-3</v>
      </c>
      <c r="I486">
        <f t="shared" si="76"/>
        <v>153.94504348556927</v>
      </c>
      <c r="J486">
        <f t="shared" si="77"/>
        <v>318.42575292912539</v>
      </c>
    </row>
    <row r="487" spans="1:13" x14ac:dyDescent="0.25">
      <c r="A487" t="s">
        <v>18</v>
      </c>
      <c r="B487" t="s">
        <v>45</v>
      </c>
      <c r="C487" t="s">
        <v>46</v>
      </c>
      <c r="D487">
        <v>246</v>
      </c>
      <c r="E487" t="s">
        <v>51</v>
      </c>
      <c r="F487">
        <v>0.19713395126449901</v>
      </c>
      <c r="G487">
        <f t="shared" si="74"/>
        <v>0.19713395126449901</v>
      </c>
      <c r="H487">
        <f t="shared" si="75"/>
        <v>3.9390910051592051E-3</v>
      </c>
      <c r="I487">
        <f t="shared" si="76"/>
        <v>50.045543757761315</v>
      </c>
      <c r="J487">
        <f t="shared" si="77"/>
        <v>253.8656757841479</v>
      </c>
    </row>
    <row r="488" spans="1:13" x14ac:dyDescent="0.25">
      <c r="A488" t="s">
        <v>19</v>
      </c>
      <c r="B488" t="s">
        <v>45</v>
      </c>
      <c r="C488" t="s">
        <v>46</v>
      </c>
      <c r="D488">
        <v>266</v>
      </c>
      <c r="E488" t="s">
        <v>51</v>
      </c>
      <c r="F488">
        <v>3.7771432195095198E-2</v>
      </c>
      <c r="G488">
        <f t="shared" si="74"/>
        <v>3.7771432195095198E-2</v>
      </c>
      <c r="H488">
        <f t="shared" si="75"/>
        <v>3.7824746928406486E-3</v>
      </c>
      <c r="I488">
        <f t="shared" si="76"/>
        <v>9.9859048010520191</v>
      </c>
      <c r="J488">
        <f t="shared" si="77"/>
        <v>264.37718192609964</v>
      </c>
    </row>
    <row r="489" spans="1:13" x14ac:dyDescent="0.25">
      <c r="A489" t="s">
        <v>20</v>
      </c>
      <c r="B489" t="s">
        <v>45</v>
      </c>
      <c r="C489" t="s">
        <v>46</v>
      </c>
      <c r="D489">
        <v>245</v>
      </c>
      <c r="E489" t="s">
        <v>51</v>
      </c>
      <c r="F489">
        <v>0.41868082558779202</v>
      </c>
      <c r="G489">
        <f t="shared" si="74"/>
        <v>0.41868082558779202</v>
      </c>
      <c r="H489">
        <f t="shared" si="75"/>
        <v>3.3938533591980446E-3</v>
      </c>
      <c r="I489">
        <f t="shared" si="76"/>
        <v>123.36444191175212</v>
      </c>
      <c r="J489">
        <f t="shared" si="77"/>
        <v>294.65032638778962</v>
      </c>
    </row>
    <row r="490" spans="1:13" x14ac:dyDescent="0.25">
      <c r="A490" t="s">
        <v>21</v>
      </c>
      <c r="B490" t="s">
        <v>45</v>
      </c>
      <c r="C490" t="s">
        <v>46</v>
      </c>
      <c r="D490">
        <v>394</v>
      </c>
      <c r="E490" t="s">
        <v>51</v>
      </c>
      <c r="F490">
        <v>0.48398331253982801</v>
      </c>
      <c r="G490">
        <f t="shared" si="74"/>
        <v>0.48398331253982801</v>
      </c>
      <c r="H490">
        <f t="shared" si="75"/>
        <v>1.9534697785279979E-3</v>
      </c>
      <c r="I490">
        <f t="shared" si="76"/>
        <v>247.75572054384426</v>
      </c>
      <c r="J490">
        <f t="shared" si="77"/>
        <v>511.90963432950167</v>
      </c>
    </row>
    <row r="491" spans="1:13" x14ac:dyDescent="0.25">
      <c r="A491" t="s">
        <v>22</v>
      </c>
      <c r="B491" t="s">
        <v>45</v>
      </c>
      <c r="C491" t="s">
        <v>46</v>
      </c>
      <c r="D491">
        <v>398</v>
      </c>
      <c r="E491" t="s">
        <v>51</v>
      </c>
      <c r="F491">
        <v>0.40614332901084099</v>
      </c>
      <c r="G491">
        <f t="shared" si="74"/>
        <v>0.40614332901084099</v>
      </c>
      <c r="H491">
        <f t="shared" si="75"/>
        <v>2.1087060512626054E-3</v>
      </c>
      <c r="I491">
        <f t="shared" si="76"/>
        <v>192.60310310565063</v>
      </c>
      <c r="J491">
        <f t="shared" si="77"/>
        <v>474.22446547314723</v>
      </c>
    </row>
    <row r="492" spans="1:13" x14ac:dyDescent="0.25">
      <c r="A492" t="s">
        <v>23</v>
      </c>
      <c r="B492" t="s">
        <v>45</v>
      </c>
      <c r="C492" t="s">
        <v>46</v>
      </c>
      <c r="D492">
        <v>1127</v>
      </c>
      <c r="E492" t="s">
        <v>51</v>
      </c>
      <c r="F492">
        <v>0.20526520596529299</v>
      </c>
      <c r="G492">
        <f t="shared" si="74"/>
        <v>0.20526520596529299</v>
      </c>
      <c r="H492">
        <f t="shared" si="75"/>
        <v>8.5143661797335631E-4</v>
      </c>
      <c r="I492">
        <f t="shared" si="76"/>
        <v>241.08101722695261</v>
      </c>
      <c r="J492">
        <f t="shared" si="77"/>
        <v>1174.4855446554127</v>
      </c>
    </row>
    <row r="493" spans="1:13" x14ac:dyDescent="0.25">
      <c r="A493" t="s">
        <v>24</v>
      </c>
      <c r="B493" t="s">
        <v>45</v>
      </c>
      <c r="C493" t="s">
        <v>46</v>
      </c>
      <c r="D493">
        <v>1137</v>
      </c>
      <c r="E493" t="s">
        <v>51</v>
      </c>
      <c r="F493">
        <v>0.38983060490413501</v>
      </c>
      <c r="G493">
        <f t="shared" si="74"/>
        <v>0.38983060490413501</v>
      </c>
      <c r="H493">
        <f t="shared" si="75"/>
        <v>7.471648453568953E-4</v>
      </c>
      <c r="I493">
        <f t="shared" si="76"/>
        <v>521.74644902882994</v>
      </c>
      <c r="J493">
        <f t="shared" si="77"/>
        <v>1338.3927338314932</v>
      </c>
    </row>
    <row r="494" spans="1:13" x14ac:dyDescent="0.25">
      <c r="A494" t="s">
        <v>25</v>
      </c>
      <c r="B494" t="s">
        <v>45</v>
      </c>
      <c r="C494" t="s">
        <v>46</v>
      </c>
      <c r="D494">
        <v>415</v>
      </c>
      <c r="E494" t="s">
        <v>51</v>
      </c>
      <c r="F494">
        <v>0.27614760126515597</v>
      </c>
      <c r="G494">
        <f t="shared" si="74"/>
        <v>0.27614760126515597</v>
      </c>
      <c r="H494">
        <f t="shared" si="75"/>
        <v>2.2366646545169499E-3</v>
      </c>
      <c r="I494">
        <f t="shared" si="76"/>
        <v>123.46401625629268</v>
      </c>
      <c r="J494">
        <f t="shared" si="77"/>
        <v>447.09429193173747</v>
      </c>
    </row>
    <row r="495" spans="1:13" x14ac:dyDescent="0.25">
      <c r="A495" t="s">
        <v>26</v>
      </c>
      <c r="B495" t="s">
        <v>45</v>
      </c>
      <c r="C495" t="s">
        <v>46</v>
      </c>
      <c r="D495">
        <v>397</v>
      </c>
      <c r="E495" t="s">
        <v>51</v>
      </c>
      <c r="F495">
        <v>0.55701600263301898</v>
      </c>
      <c r="G495">
        <f t="shared" si="74"/>
        <v>0.55701600263301898</v>
      </c>
      <c r="H495">
        <f t="shared" si="75"/>
        <v>1.7461599311664115E-3</v>
      </c>
      <c r="I495">
        <f t="shared" si="76"/>
        <v>318.9948370083946</v>
      </c>
      <c r="J495">
        <f t="shared" si="77"/>
        <v>572.6852289709874</v>
      </c>
    </row>
    <row r="496" spans="1:13" x14ac:dyDescent="0.25">
      <c r="A496" t="s">
        <v>6</v>
      </c>
      <c r="B496" t="s">
        <v>47</v>
      </c>
      <c r="C496" t="s">
        <v>48</v>
      </c>
      <c r="D496">
        <v>1142</v>
      </c>
      <c r="E496" t="s">
        <v>51</v>
      </c>
      <c r="F496">
        <v>0.66621127846589401</v>
      </c>
      <c r="G496">
        <f t="shared" si="74"/>
        <v>0.66621127846589401</v>
      </c>
      <c r="H496">
        <f t="shared" si="75"/>
        <v>4.8786187056564829E-4</v>
      </c>
      <c r="I496">
        <f t="shared" si="76"/>
        <v>1365.5735745313723</v>
      </c>
      <c r="J496">
        <f t="shared" si="77"/>
        <v>2049.7605169277863</v>
      </c>
      <c r="K496">
        <f t="shared" ref="K496:L496" si="82">SUM(I496:I514)</f>
        <v>5339.889966603876</v>
      </c>
      <c r="L496">
        <f t="shared" si="82"/>
        <v>12703.601927708354</v>
      </c>
      <c r="M496">
        <f t="shared" ref="M496" si="83">K496/L496</f>
        <v>0.42034456030590978</v>
      </c>
    </row>
    <row r="497" spans="1:10" x14ac:dyDescent="0.25">
      <c r="A497" t="s">
        <v>9</v>
      </c>
      <c r="B497" t="s">
        <v>47</v>
      </c>
      <c r="C497" t="s">
        <v>48</v>
      </c>
      <c r="D497">
        <v>1128</v>
      </c>
      <c r="E497" t="s">
        <v>51</v>
      </c>
      <c r="F497">
        <v>0.50932284200330202</v>
      </c>
      <c r="G497">
        <f t="shared" si="74"/>
        <v>0.50932284200330202</v>
      </c>
      <c r="H497">
        <f t="shared" si="75"/>
        <v>6.5771779983452884E-4</v>
      </c>
      <c r="I497">
        <f t="shared" si="76"/>
        <v>774.37898462142789</v>
      </c>
      <c r="J497">
        <f t="shared" si="77"/>
        <v>1520.4089052350168</v>
      </c>
    </row>
    <row r="498" spans="1:10" x14ac:dyDescent="0.25">
      <c r="A498" t="s">
        <v>10</v>
      </c>
      <c r="B498" t="s">
        <v>47</v>
      </c>
      <c r="C498" t="s">
        <v>48</v>
      </c>
      <c r="D498">
        <v>414</v>
      </c>
      <c r="E498" t="s">
        <v>51</v>
      </c>
      <c r="F498">
        <v>0.337152673493743</v>
      </c>
      <c r="G498">
        <f t="shared" si="74"/>
        <v>0.337152673493743</v>
      </c>
      <c r="H498">
        <f t="shared" si="75"/>
        <v>2.1512817348447125E-3</v>
      </c>
      <c r="I498">
        <f t="shared" si="76"/>
        <v>156.72176639294523</v>
      </c>
      <c r="J498">
        <f t="shared" si="77"/>
        <v>464.83916253404334</v>
      </c>
    </row>
    <row r="499" spans="1:10" x14ac:dyDescent="0.25">
      <c r="A499" t="s">
        <v>11</v>
      </c>
      <c r="B499" t="s">
        <v>47</v>
      </c>
      <c r="C499" t="s">
        <v>48</v>
      </c>
      <c r="D499">
        <v>395</v>
      </c>
      <c r="E499" t="s">
        <v>51</v>
      </c>
      <c r="F499">
        <v>0.50846093426456496</v>
      </c>
      <c r="G499">
        <f t="shared" si="74"/>
        <v>0.50846093426456496</v>
      </c>
      <c r="H499">
        <f t="shared" si="75"/>
        <v>1.8866856954880555E-3</v>
      </c>
      <c r="I499">
        <f t="shared" si="76"/>
        <v>269.4995438193717</v>
      </c>
      <c r="J499">
        <f t="shared" si="77"/>
        <v>530.02998983427176</v>
      </c>
    </row>
    <row r="500" spans="1:10" x14ac:dyDescent="0.25">
      <c r="A500" t="s">
        <v>12</v>
      </c>
      <c r="B500" t="s">
        <v>47</v>
      </c>
      <c r="C500" t="s">
        <v>48</v>
      </c>
      <c r="D500">
        <v>415</v>
      </c>
      <c r="E500" t="s">
        <v>51</v>
      </c>
      <c r="F500">
        <v>0.43076940675701397</v>
      </c>
      <c r="G500">
        <f t="shared" si="74"/>
        <v>0.43076940675701397</v>
      </c>
      <c r="H500">
        <f t="shared" si="75"/>
        <v>1.9720041602959083E-3</v>
      </c>
      <c r="I500">
        <f t="shared" si="76"/>
        <v>218.4424431905737</v>
      </c>
      <c r="J500">
        <f t="shared" si="77"/>
        <v>507.09832166375622</v>
      </c>
    </row>
    <row r="501" spans="1:10" x14ac:dyDescent="0.25">
      <c r="A501" t="s">
        <v>13</v>
      </c>
      <c r="B501" t="s">
        <v>47</v>
      </c>
      <c r="C501" t="s">
        <v>48</v>
      </c>
      <c r="D501">
        <v>1006</v>
      </c>
      <c r="E501" t="s">
        <v>51</v>
      </c>
      <c r="F501">
        <v>0.167676180999662</v>
      </c>
      <c r="G501">
        <f t="shared" si="74"/>
        <v>0.167676180999662</v>
      </c>
      <c r="H501">
        <f t="shared" si="75"/>
        <v>9.6801264773443084E-4</v>
      </c>
      <c r="I501">
        <f t="shared" si="76"/>
        <v>173.21693202263106</v>
      </c>
      <c r="J501">
        <f t="shared" si="77"/>
        <v>1033.044353646033</v>
      </c>
    </row>
    <row r="502" spans="1:10" x14ac:dyDescent="0.25">
      <c r="A502" t="s">
        <v>14</v>
      </c>
      <c r="B502" t="s">
        <v>47</v>
      </c>
      <c r="C502" t="s">
        <v>48</v>
      </c>
      <c r="D502">
        <v>246</v>
      </c>
      <c r="E502" t="s">
        <v>51</v>
      </c>
      <c r="F502">
        <v>0.349985954294602</v>
      </c>
      <c r="G502">
        <f t="shared" si="74"/>
        <v>0.349985954294602</v>
      </c>
      <c r="H502">
        <f t="shared" si="75"/>
        <v>3.5963517696577735E-3</v>
      </c>
      <c r="I502">
        <f t="shared" si="76"/>
        <v>97.316941364694827</v>
      </c>
      <c r="J502">
        <f t="shared" si="77"/>
        <v>278.05956259255453</v>
      </c>
    </row>
    <row r="503" spans="1:10" x14ac:dyDescent="0.25">
      <c r="A503" t="s">
        <v>15</v>
      </c>
      <c r="B503" t="s">
        <v>47</v>
      </c>
      <c r="C503" t="s">
        <v>48</v>
      </c>
      <c r="D503">
        <v>246</v>
      </c>
      <c r="E503" t="s">
        <v>51</v>
      </c>
      <c r="F503">
        <v>0.61444919843558199</v>
      </c>
      <c r="G503">
        <f t="shared" si="74"/>
        <v>0.61444919843558199</v>
      </c>
      <c r="H503">
        <f t="shared" si="75"/>
        <v>2.5510335350076669E-3</v>
      </c>
      <c r="I503">
        <f t="shared" si="76"/>
        <v>240.86284637325841</v>
      </c>
      <c r="J503">
        <f t="shared" si="77"/>
        <v>391.99798288696138</v>
      </c>
    </row>
    <row r="504" spans="1:10" x14ac:dyDescent="0.25">
      <c r="A504" t="s">
        <v>16</v>
      </c>
      <c r="B504" t="s">
        <v>47</v>
      </c>
      <c r="C504" t="s">
        <v>48</v>
      </c>
      <c r="D504">
        <v>246</v>
      </c>
      <c r="E504" t="s">
        <v>51</v>
      </c>
      <c r="F504">
        <v>6.5397669594848204E-2</v>
      </c>
      <c r="G504">
        <f t="shared" si="74"/>
        <v>6.5397669594848204E-2</v>
      </c>
      <c r="H504">
        <f t="shared" si="75"/>
        <v>4.0808325607031275E-3</v>
      </c>
      <c r="I504">
        <f t="shared" si="76"/>
        <v>16.025570425163483</v>
      </c>
      <c r="J504">
        <f t="shared" si="77"/>
        <v>245.0480349597338</v>
      </c>
    </row>
    <row r="505" spans="1:10" x14ac:dyDescent="0.25">
      <c r="A505" t="s">
        <v>17</v>
      </c>
      <c r="B505" t="s">
        <v>47</v>
      </c>
      <c r="C505" t="s">
        <v>48</v>
      </c>
      <c r="D505">
        <v>246</v>
      </c>
      <c r="E505" t="s">
        <v>51</v>
      </c>
      <c r="F505">
        <v>0.44890816443623299</v>
      </c>
      <c r="G505">
        <f t="shared" si="74"/>
        <v>0.44890816443623299</v>
      </c>
      <c r="H505">
        <f t="shared" si="75"/>
        <v>3.272464999600377E-3</v>
      </c>
      <c r="I505">
        <f t="shared" si="76"/>
        <v>137.1773768370486</v>
      </c>
      <c r="J505">
        <f t="shared" si="77"/>
        <v>305.58004443809693</v>
      </c>
    </row>
    <row r="506" spans="1:10" x14ac:dyDescent="0.25">
      <c r="A506" t="s">
        <v>18</v>
      </c>
      <c r="B506" t="s">
        <v>47</v>
      </c>
      <c r="C506" t="s">
        <v>48</v>
      </c>
      <c r="D506">
        <v>246</v>
      </c>
      <c r="E506" t="s">
        <v>51</v>
      </c>
      <c r="F506">
        <v>0.20857802596570399</v>
      </c>
      <c r="G506">
        <f t="shared" si="74"/>
        <v>0.20857802596570399</v>
      </c>
      <c r="H506">
        <f t="shared" si="75"/>
        <v>3.9200623241157787E-3</v>
      </c>
      <c r="I506">
        <f t="shared" si="76"/>
        <v>53.20783414145118</v>
      </c>
      <c r="J506">
        <f t="shared" si="77"/>
        <v>255.09798501113451</v>
      </c>
    </row>
    <row r="507" spans="1:10" x14ac:dyDescent="0.25">
      <c r="A507" t="s">
        <v>19</v>
      </c>
      <c r="B507" t="s">
        <v>47</v>
      </c>
      <c r="C507" t="s">
        <v>48</v>
      </c>
      <c r="D507">
        <v>266</v>
      </c>
      <c r="E507" t="s">
        <v>51</v>
      </c>
      <c r="F507">
        <v>-1.9042309034166399E-2</v>
      </c>
      <c r="G507">
        <f t="shared" si="74"/>
        <v>-1.9042309034166399E-2</v>
      </c>
      <c r="H507">
        <f t="shared" si="75"/>
        <v>3.7865052669191187E-3</v>
      </c>
      <c r="I507">
        <f t="shared" si="76"/>
        <v>-5.0289931458777897</v>
      </c>
      <c r="J507">
        <f t="shared" si="77"/>
        <v>264.0957636416145</v>
      </c>
    </row>
    <row r="508" spans="1:10" x14ac:dyDescent="0.25">
      <c r="A508" t="s">
        <v>20</v>
      </c>
      <c r="B508" t="s">
        <v>47</v>
      </c>
      <c r="C508" t="s">
        <v>48</v>
      </c>
      <c r="D508">
        <v>245</v>
      </c>
      <c r="E508" t="s">
        <v>51</v>
      </c>
      <c r="F508">
        <v>0.39104177437641602</v>
      </c>
      <c r="G508">
        <f t="shared" si="74"/>
        <v>0.39104177437641602</v>
      </c>
      <c r="H508">
        <f t="shared" si="75"/>
        <v>3.4859519781586176E-3</v>
      </c>
      <c r="I508">
        <f t="shared" si="76"/>
        <v>112.17646623548032</v>
      </c>
      <c r="J508">
        <f t="shared" si="77"/>
        <v>286.86568439999837</v>
      </c>
    </row>
    <row r="509" spans="1:10" x14ac:dyDescent="0.25">
      <c r="A509" t="s">
        <v>21</v>
      </c>
      <c r="B509" t="s">
        <v>47</v>
      </c>
      <c r="C509" t="s">
        <v>48</v>
      </c>
      <c r="D509">
        <v>394</v>
      </c>
      <c r="E509" t="s">
        <v>51</v>
      </c>
      <c r="F509">
        <v>0.48358214053842502</v>
      </c>
      <c r="G509">
        <f t="shared" si="74"/>
        <v>0.48358214053842502</v>
      </c>
      <c r="H509">
        <f t="shared" si="75"/>
        <v>1.954459983041518E-3</v>
      </c>
      <c r="I509">
        <f t="shared" si="76"/>
        <v>247.42493821023524</v>
      </c>
      <c r="J509">
        <f t="shared" si="77"/>
        <v>511.65028124229309</v>
      </c>
    </row>
    <row r="510" spans="1:10" x14ac:dyDescent="0.25">
      <c r="A510" t="s">
        <v>22</v>
      </c>
      <c r="B510" t="s">
        <v>47</v>
      </c>
      <c r="C510" t="s">
        <v>48</v>
      </c>
      <c r="D510">
        <v>398</v>
      </c>
      <c r="E510" t="s">
        <v>51</v>
      </c>
      <c r="F510">
        <v>0.42194774310428701</v>
      </c>
      <c r="G510">
        <f t="shared" si="74"/>
        <v>0.42194774310428701</v>
      </c>
      <c r="H510">
        <f t="shared" si="75"/>
        <v>2.0756568234575725E-3</v>
      </c>
      <c r="I510">
        <f t="shared" si="76"/>
        <v>203.28396213465479</v>
      </c>
      <c r="J510">
        <f t="shared" si="77"/>
        <v>481.77520903201491</v>
      </c>
    </row>
    <row r="511" spans="1:10" x14ac:dyDescent="0.25">
      <c r="A511" t="s">
        <v>23</v>
      </c>
      <c r="B511" t="s">
        <v>47</v>
      </c>
      <c r="C511" t="s">
        <v>48</v>
      </c>
      <c r="D511">
        <v>1127</v>
      </c>
      <c r="E511" t="s">
        <v>51</v>
      </c>
      <c r="F511">
        <v>0.21717235457272299</v>
      </c>
      <c r="G511">
        <f t="shared" si="74"/>
        <v>0.21717235457272299</v>
      </c>
      <c r="H511">
        <f t="shared" si="75"/>
        <v>8.4696548303052398E-4</v>
      </c>
      <c r="I511">
        <f t="shared" si="76"/>
        <v>256.41228470806084</v>
      </c>
      <c r="J511">
        <f t="shared" si="77"/>
        <v>1180.685659611421</v>
      </c>
    </row>
    <row r="512" spans="1:10" x14ac:dyDescent="0.25">
      <c r="A512" t="s">
        <v>24</v>
      </c>
      <c r="B512" t="s">
        <v>47</v>
      </c>
      <c r="C512" t="s">
        <v>48</v>
      </c>
      <c r="D512">
        <v>1137</v>
      </c>
      <c r="E512" t="s">
        <v>51</v>
      </c>
      <c r="F512">
        <v>0.39638485613691898</v>
      </c>
      <c r="G512">
        <f t="shared" si="74"/>
        <v>0.39638485613691898</v>
      </c>
      <c r="H512">
        <f t="shared" si="75"/>
        <v>7.4262470997825023E-4</v>
      </c>
      <c r="I512">
        <f t="shared" si="76"/>
        <v>533.76200766135048</v>
      </c>
      <c r="J512">
        <f t="shared" si="77"/>
        <v>1346.5751766181975</v>
      </c>
    </row>
    <row r="513" spans="1:13" x14ac:dyDescent="0.25">
      <c r="A513" t="s">
        <v>25</v>
      </c>
      <c r="B513" t="s">
        <v>47</v>
      </c>
      <c r="C513" t="s">
        <v>48</v>
      </c>
      <c r="D513">
        <v>415</v>
      </c>
      <c r="E513" t="s">
        <v>51</v>
      </c>
      <c r="F513">
        <v>0.33098493884646801</v>
      </c>
      <c r="G513">
        <f t="shared" si="74"/>
        <v>0.33098493884646801</v>
      </c>
      <c r="H513">
        <f t="shared" si="75"/>
        <v>2.1560507754401935E-3</v>
      </c>
      <c r="I513">
        <f t="shared" si="76"/>
        <v>153.51444530748213</v>
      </c>
      <c r="J513">
        <f t="shared" si="77"/>
        <v>463.81096929214641</v>
      </c>
    </row>
    <row r="514" spans="1:13" x14ac:dyDescent="0.25">
      <c r="A514" t="s">
        <v>26</v>
      </c>
      <c r="B514" t="s">
        <v>47</v>
      </c>
      <c r="C514" t="s">
        <v>48</v>
      </c>
      <c r="D514">
        <v>397</v>
      </c>
      <c r="E514" t="s">
        <v>51</v>
      </c>
      <c r="F514">
        <v>0.57209373704967803</v>
      </c>
      <c r="G514">
        <f t="shared" si="74"/>
        <v>0.57209373704967803</v>
      </c>
      <c r="H514">
        <f t="shared" si="75"/>
        <v>1.7030601418443895E-3</v>
      </c>
      <c r="I514">
        <f t="shared" si="76"/>
        <v>335.92104177255231</v>
      </c>
      <c r="J514">
        <f t="shared" si="77"/>
        <v>587.17832414128043</v>
      </c>
    </row>
    <row r="515" spans="1:13" x14ac:dyDescent="0.25">
      <c r="A515" t="s">
        <v>6</v>
      </c>
      <c r="B515" t="s">
        <v>49</v>
      </c>
      <c r="C515" t="s">
        <v>50</v>
      </c>
      <c r="D515">
        <v>1142</v>
      </c>
      <c r="E515" t="s">
        <v>51</v>
      </c>
      <c r="F515">
        <v>0.65449795543317202</v>
      </c>
      <c r="G515">
        <f t="shared" ref="G515:G533" si="84">AVERAGE(F515)</f>
        <v>0.65449795543317202</v>
      </c>
      <c r="H515">
        <f t="shared" ref="H515:H533" si="85">(1-G515^2)/(D515-2)</f>
        <v>5.0143195292438381E-4</v>
      </c>
      <c r="I515">
        <f t="shared" ref="I515:I533" si="86">G515/H515</f>
        <v>1305.2577754889717</v>
      </c>
      <c r="J515">
        <f t="shared" ref="J515:J533" si="87">1/H515</f>
        <v>1994.2885453707822</v>
      </c>
      <c r="K515">
        <f t="shared" ref="K515:L515" si="88">SUM(I515:I533)</f>
        <v>5619.4131140063828</v>
      </c>
      <c r="L515">
        <f t="shared" si="88"/>
        <v>12850.732126404308</v>
      </c>
      <c r="M515">
        <f t="shared" ref="M515" si="89">K515/L515</f>
        <v>0.43728349939379835</v>
      </c>
    </row>
    <row r="516" spans="1:13" x14ac:dyDescent="0.25">
      <c r="A516" t="s">
        <v>9</v>
      </c>
      <c r="B516" t="s">
        <v>49</v>
      </c>
      <c r="C516" t="s">
        <v>50</v>
      </c>
      <c r="D516">
        <v>1128</v>
      </c>
      <c r="E516" t="s">
        <v>51</v>
      </c>
      <c r="F516">
        <v>0.52881094462052203</v>
      </c>
      <c r="G516">
        <f t="shared" si="84"/>
        <v>0.52881094462052203</v>
      </c>
      <c r="H516">
        <f t="shared" si="85"/>
        <v>6.3975043059462801E-4</v>
      </c>
      <c r="I516">
        <f t="shared" si="86"/>
        <v>826.58943133341666</v>
      </c>
      <c r="J516">
        <f t="shared" si="87"/>
        <v>1563.1095379967642</v>
      </c>
    </row>
    <row r="517" spans="1:13" x14ac:dyDescent="0.25">
      <c r="A517" t="s">
        <v>10</v>
      </c>
      <c r="B517" t="s">
        <v>49</v>
      </c>
      <c r="C517" t="s">
        <v>50</v>
      </c>
      <c r="D517">
        <v>414</v>
      </c>
      <c r="E517" t="s">
        <v>51</v>
      </c>
      <c r="F517">
        <v>0.46176069324267199</v>
      </c>
      <c r="G517">
        <f t="shared" si="84"/>
        <v>0.46176069324267199</v>
      </c>
      <c r="H517">
        <f t="shared" si="85"/>
        <v>1.9096530635340947E-3</v>
      </c>
      <c r="I517">
        <f t="shared" si="86"/>
        <v>241.80344695078577</v>
      </c>
      <c r="J517">
        <f t="shared" si="87"/>
        <v>523.65532729246252</v>
      </c>
    </row>
    <row r="518" spans="1:13" x14ac:dyDescent="0.25">
      <c r="A518" t="s">
        <v>11</v>
      </c>
      <c r="B518" t="s">
        <v>49</v>
      </c>
      <c r="C518" t="s">
        <v>50</v>
      </c>
      <c r="D518">
        <v>395</v>
      </c>
      <c r="E518" t="s">
        <v>51</v>
      </c>
      <c r="F518">
        <v>0.481576429655315</v>
      </c>
      <c r="G518">
        <f t="shared" si="84"/>
        <v>0.481576429655315</v>
      </c>
      <c r="H518">
        <f t="shared" si="85"/>
        <v>1.9544125760825432E-3</v>
      </c>
      <c r="I518">
        <f t="shared" si="86"/>
        <v>246.40469241177047</v>
      </c>
      <c r="J518">
        <f t="shared" si="87"/>
        <v>511.66269202197651</v>
      </c>
    </row>
    <row r="519" spans="1:13" x14ac:dyDescent="0.25">
      <c r="A519" t="s">
        <v>12</v>
      </c>
      <c r="B519" t="s">
        <v>49</v>
      </c>
      <c r="C519" t="s">
        <v>50</v>
      </c>
      <c r="D519">
        <v>415</v>
      </c>
      <c r="E519" t="s">
        <v>51</v>
      </c>
      <c r="F519">
        <v>0.44412040520896201</v>
      </c>
      <c r="G519">
        <f t="shared" si="84"/>
        <v>0.44412040520896201</v>
      </c>
      <c r="H519">
        <f t="shared" si="85"/>
        <v>1.9437217086610834E-3</v>
      </c>
      <c r="I519">
        <f t="shared" si="86"/>
        <v>228.48970777554914</v>
      </c>
      <c r="J519">
        <f t="shared" si="87"/>
        <v>514.47694160335413</v>
      </c>
    </row>
    <row r="520" spans="1:13" x14ac:dyDescent="0.25">
      <c r="A520" t="s">
        <v>13</v>
      </c>
      <c r="B520" t="s">
        <v>49</v>
      </c>
      <c r="C520" t="s">
        <v>50</v>
      </c>
      <c r="D520">
        <v>1006</v>
      </c>
      <c r="E520" t="s">
        <v>51</v>
      </c>
      <c r="F520">
        <v>0.29227778352199602</v>
      </c>
      <c r="G520">
        <f t="shared" si="84"/>
        <v>0.29227778352199602</v>
      </c>
      <c r="H520">
        <f t="shared" si="85"/>
        <v>9.1092997735006892E-4</v>
      </c>
      <c r="I520">
        <f t="shared" si="86"/>
        <v>320.85647721490466</v>
      </c>
      <c r="J520">
        <f t="shared" si="87"/>
        <v>1097.7792199890482</v>
      </c>
    </row>
    <row r="521" spans="1:13" x14ac:dyDescent="0.25">
      <c r="A521" t="s">
        <v>14</v>
      </c>
      <c r="B521" t="s">
        <v>49</v>
      </c>
      <c r="C521" t="s">
        <v>50</v>
      </c>
      <c r="D521">
        <v>246</v>
      </c>
      <c r="E521" t="s">
        <v>51</v>
      </c>
      <c r="F521">
        <v>0.378567576182472</v>
      </c>
      <c r="G521">
        <f t="shared" si="84"/>
        <v>0.378567576182472</v>
      </c>
      <c r="H521">
        <f t="shared" si="85"/>
        <v>3.5110106158333125E-3</v>
      </c>
      <c r="I521">
        <f t="shared" si="86"/>
        <v>107.82296540924067</v>
      </c>
      <c r="J521">
        <f t="shared" si="87"/>
        <v>284.81827867178276</v>
      </c>
    </row>
    <row r="522" spans="1:13" x14ac:dyDescent="0.25">
      <c r="A522" t="s">
        <v>15</v>
      </c>
      <c r="B522" t="s">
        <v>49</v>
      </c>
      <c r="C522" t="s">
        <v>50</v>
      </c>
      <c r="D522">
        <v>246</v>
      </c>
      <c r="E522" t="s">
        <v>51</v>
      </c>
      <c r="F522">
        <v>0.64991327007178301</v>
      </c>
      <c r="G522">
        <f t="shared" si="84"/>
        <v>0.64991327007178301</v>
      </c>
      <c r="H522">
        <f t="shared" si="85"/>
        <v>2.3672653335434493E-3</v>
      </c>
      <c r="I522">
        <f t="shared" si="86"/>
        <v>274.54179337765999</v>
      </c>
      <c r="J522">
        <f t="shared" si="87"/>
        <v>422.42835470544679</v>
      </c>
    </row>
    <row r="523" spans="1:13" x14ac:dyDescent="0.25">
      <c r="A523" t="s">
        <v>16</v>
      </c>
      <c r="B523" t="s">
        <v>49</v>
      </c>
      <c r="C523" t="s">
        <v>50</v>
      </c>
      <c r="D523">
        <v>246</v>
      </c>
      <c r="E523" t="s">
        <v>51</v>
      </c>
      <c r="F523">
        <v>7.3238854657828201E-2</v>
      </c>
      <c r="G523">
        <f t="shared" si="84"/>
        <v>7.3238854657828201E-2</v>
      </c>
      <c r="H523">
        <f t="shared" si="85"/>
        <v>4.0763773367557769E-3</v>
      </c>
      <c r="I523">
        <f t="shared" si="86"/>
        <v>17.966652399288439</v>
      </c>
      <c r="J523">
        <f t="shared" si="87"/>
        <v>245.31585704375919</v>
      </c>
    </row>
    <row r="524" spans="1:13" x14ac:dyDescent="0.25">
      <c r="A524" t="s">
        <v>17</v>
      </c>
      <c r="B524" t="s">
        <v>49</v>
      </c>
      <c r="C524" t="s">
        <v>50</v>
      </c>
      <c r="D524">
        <v>246</v>
      </c>
      <c r="E524" t="s">
        <v>51</v>
      </c>
      <c r="F524">
        <v>0.48820792670242902</v>
      </c>
      <c r="G524">
        <f t="shared" si="84"/>
        <v>0.48820792670242902</v>
      </c>
      <c r="H524">
        <f t="shared" si="85"/>
        <v>3.1215287717414578E-3</v>
      </c>
      <c r="I524">
        <f t="shared" si="86"/>
        <v>156.40026487087752</v>
      </c>
      <c r="J524">
        <f t="shared" si="87"/>
        <v>320.35584904832189</v>
      </c>
    </row>
    <row r="525" spans="1:13" x14ac:dyDescent="0.25">
      <c r="A525" t="s">
        <v>18</v>
      </c>
      <c r="B525" t="s">
        <v>49</v>
      </c>
      <c r="C525" t="s">
        <v>50</v>
      </c>
      <c r="D525">
        <v>246</v>
      </c>
      <c r="E525" t="s">
        <v>51</v>
      </c>
      <c r="F525">
        <v>0.191741078924765</v>
      </c>
      <c r="G525">
        <f t="shared" si="84"/>
        <v>0.191741078924765</v>
      </c>
      <c r="H525">
        <f t="shared" si="85"/>
        <v>3.9476858961178972E-3</v>
      </c>
      <c r="I525">
        <f t="shared" si="86"/>
        <v>48.570500280511339</v>
      </c>
      <c r="J525">
        <f t="shared" si="87"/>
        <v>253.31296012770088</v>
      </c>
    </row>
    <row r="526" spans="1:13" x14ac:dyDescent="0.25">
      <c r="A526" t="s">
        <v>19</v>
      </c>
      <c r="B526" t="s">
        <v>49</v>
      </c>
      <c r="C526" t="s">
        <v>50</v>
      </c>
      <c r="D526">
        <v>266</v>
      </c>
      <c r="E526" t="s">
        <v>51</v>
      </c>
      <c r="F526">
        <v>5.5609357288473799E-2</v>
      </c>
      <c r="G526">
        <f t="shared" si="84"/>
        <v>5.5609357288473799E-2</v>
      </c>
      <c r="H526">
        <f t="shared" si="85"/>
        <v>3.7761651491741016E-3</v>
      </c>
      <c r="I526">
        <f t="shared" si="86"/>
        <v>14.726410284422098</v>
      </c>
      <c r="J526">
        <f t="shared" si="87"/>
        <v>264.81892621108307</v>
      </c>
    </row>
    <row r="527" spans="1:13" x14ac:dyDescent="0.25">
      <c r="A527" t="s">
        <v>20</v>
      </c>
      <c r="B527" t="s">
        <v>49</v>
      </c>
      <c r="C527" t="s">
        <v>50</v>
      </c>
      <c r="D527">
        <v>245</v>
      </c>
      <c r="E527" t="s">
        <v>51</v>
      </c>
      <c r="F527">
        <v>0.36939764689070798</v>
      </c>
      <c r="G527">
        <f t="shared" si="84"/>
        <v>0.36939764689070798</v>
      </c>
      <c r="H527">
        <f t="shared" si="85"/>
        <v>3.553684685068345E-3</v>
      </c>
      <c r="I527">
        <f t="shared" si="86"/>
        <v>103.94778367445497</v>
      </c>
      <c r="J527">
        <f t="shared" si="87"/>
        <v>281.39806668884802</v>
      </c>
    </row>
    <row r="528" spans="1:13" x14ac:dyDescent="0.25">
      <c r="A528" t="s">
        <v>21</v>
      </c>
      <c r="B528" t="s">
        <v>49</v>
      </c>
      <c r="C528" t="s">
        <v>50</v>
      </c>
      <c r="D528">
        <v>394</v>
      </c>
      <c r="E528" t="s">
        <v>51</v>
      </c>
      <c r="F528">
        <v>0.49983968814100299</v>
      </c>
      <c r="G528">
        <f t="shared" si="84"/>
        <v>0.49983968814100299</v>
      </c>
      <c r="H528">
        <f t="shared" si="85"/>
        <v>1.9136741993854716E-3</v>
      </c>
      <c r="I528">
        <f t="shared" si="86"/>
        <v>261.19372268357591</v>
      </c>
      <c r="J528">
        <f t="shared" si="87"/>
        <v>522.55498889054616</v>
      </c>
    </row>
    <row r="529" spans="1:10" x14ac:dyDescent="0.25">
      <c r="A529" t="s">
        <v>22</v>
      </c>
      <c r="B529" t="s">
        <v>49</v>
      </c>
      <c r="C529" t="s">
        <v>50</v>
      </c>
      <c r="D529">
        <v>398</v>
      </c>
      <c r="E529" t="s">
        <v>51</v>
      </c>
      <c r="F529">
        <v>0.43431760673438602</v>
      </c>
      <c r="G529">
        <f t="shared" si="84"/>
        <v>0.43431760673438602</v>
      </c>
      <c r="H529">
        <f t="shared" si="85"/>
        <v>2.0489096375770587E-3</v>
      </c>
      <c r="I529">
        <f t="shared" si="86"/>
        <v>211.97499331790397</v>
      </c>
      <c r="J529">
        <f t="shared" si="87"/>
        <v>488.06447178536951</v>
      </c>
    </row>
    <row r="530" spans="1:10" x14ac:dyDescent="0.25">
      <c r="A530" t="s">
        <v>23</v>
      </c>
      <c r="B530" t="s">
        <v>49</v>
      </c>
      <c r="C530" t="s">
        <v>50</v>
      </c>
      <c r="D530">
        <v>1127</v>
      </c>
      <c r="E530" t="s">
        <v>51</v>
      </c>
      <c r="F530">
        <v>0.21575391109533901</v>
      </c>
      <c r="G530">
        <f t="shared" si="84"/>
        <v>0.21575391109533901</v>
      </c>
      <c r="H530">
        <f t="shared" si="85"/>
        <v>8.475113331973907E-4</v>
      </c>
      <c r="I530">
        <f t="shared" si="86"/>
        <v>254.57348196320646</v>
      </c>
      <c r="J530">
        <f t="shared" si="87"/>
        <v>1179.9252243947205</v>
      </c>
    </row>
    <row r="531" spans="1:10" x14ac:dyDescent="0.25">
      <c r="A531" t="s">
        <v>24</v>
      </c>
      <c r="B531" t="s">
        <v>49</v>
      </c>
      <c r="C531" t="s">
        <v>50</v>
      </c>
      <c r="D531">
        <v>1137</v>
      </c>
      <c r="E531" t="s">
        <v>51</v>
      </c>
      <c r="F531">
        <v>0.40779887013768801</v>
      </c>
      <c r="G531">
        <f t="shared" si="84"/>
        <v>0.40779887013768801</v>
      </c>
      <c r="H531">
        <f t="shared" si="85"/>
        <v>7.345375167527974E-4</v>
      </c>
      <c r="I531">
        <f t="shared" si="86"/>
        <v>555.1777286209458</v>
      </c>
      <c r="J531">
        <f t="shared" si="87"/>
        <v>1361.4008504572298</v>
      </c>
    </row>
    <row r="532" spans="1:10" x14ac:dyDescent="0.25">
      <c r="A532" t="s">
        <v>25</v>
      </c>
      <c r="B532" t="s">
        <v>49</v>
      </c>
      <c r="C532" t="s">
        <v>50</v>
      </c>
      <c r="D532">
        <v>415</v>
      </c>
      <c r="E532" t="s">
        <v>51</v>
      </c>
      <c r="F532">
        <v>0.27036894251488802</v>
      </c>
      <c r="G532">
        <f t="shared" si="84"/>
        <v>0.27036894251488802</v>
      </c>
      <c r="H532">
        <f t="shared" si="85"/>
        <v>2.2443114647055233E-3</v>
      </c>
      <c r="I532">
        <f t="shared" si="86"/>
        <v>120.46854759990418</v>
      </c>
      <c r="J532">
        <f t="shared" si="87"/>
        <v>445.57095382089057</v>
      </c>
    </row>
    <row r="533" spans="1:10" x14ac:dyDescent="0.25">
      <c r="A533" t="s">
        <v>26</v>
      </c>
      <c r="B533" t="s">
        <v>49</v>
      </c>
      <c r="C533" t="s">
        <v>50</v>
      </c>
      <c r="D533">
        <v>397</v>
      </c>
      <c r="E533" t="s">
        <v>51</v>
      </c>
      <c r="F533">
        <v>0.56034993940853395</v>
      </c>
      <c r="G533">
        <f t="shared" si="84"/>
        <v>0.56034993940853395</v>
      </c>
      <c r="H533">
        <f t="shared" si="85"/>
        <v>1.736728975708487E-3</v>
      </c>
      <c r="I533">
        <f t="shared" si="86"/>
        <v>322.6467383489948</v>
      </c>
      <c r="J533">
        <f t="shared" si="87"/>
        <v>575.79508028422038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G2F_LOEO_Results_Projections_DA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DeSalvio, Aaron James</cp:lastModifiedBy>
  <dcterms:created xsi:type="dcterms:W3CDTF">2026-07-30T18:14:20Z</dcterms:created>
  <dcterms:modified xsi:type="dcterms:W3CDTF">2026-07-30T18:18:18Z</dcterms:modified>
</cp:coreProperties>
</file>